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hidePivotFieldList="1" defaultThemeVersion="166925"/>
  <mc:AlternateContent xmlns:mc="http://schemas.openxmlformats.org/markup-compatibility/2006">
    <mc:Choice Requires="x15">
      <x15ac:absPath xmlns:x15ac="http://schemas.microsoft.com/office/spreadsheetml/2010/11/ac" url="D:\Downloads\Turkiye_Shipping_Performance_Dashboard\"/>
    </mc:Choice>
  </mc:AlternateContent>
  <xr:revisionPtr revIDLastSave="0" documentId="13_ncr:1_{B8B40850-8EF3-494F-A0D9-94A9E2E19B23}" xr6:coauthVersionLast="47" xr6:coauthVersionMax="47" xr10:uidLastSave="{00000000-0000-0000-0000-000000000000}"/>
  <bookViews>
    <workbookView xWindow="-110" yWindow="-110" windowWidth="19420" windowHeight="10300" xr2:uid="{00000000-000D-0000-FFFF-FFFF00000000}"/>
  </bookViews>
  <sheets>
    <sheet name="Dashboard" sheetId="6" r:id="rId1"/>
    <sheet name="Pivot Table" sheetId="5" r:id="rId2"/>
    <sheet name="Raw Data" sheetId="2" r:id="rId3"/>
  </sheets>
  <definedNames>
    <definedName name="_xlchart.v5.0" hidden="1">'Pivot Table'!$E$19</definedName>
    <definedName name="_xlchart.v5.1" hidden="1">'Pivot Table'!$E$20:$E$29</definedName>
    <definedName name="_xlchart.v5.2" hidden="1">'Pivot Table'!$F$19</definedName>
    <definedName name="_xlchart.v5.3" hidden="1">'Pivot Table'!$F$20:$F$29</definedName>
    <definedName name="ExternalData_1" localSheetId="2" hidden="1">'Raw Data'!$A$1:$L$1001</definedName>
    <definedName name="Slicer_Shipment_Type_Eng">#N/A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L37" i="5" l="1"/>
  <c r="L36" i="5"/>
  <c r="K57" i="5"/>
  <c r="K58" i="5"/>
  <c r="K59" i="5"/>
  <c r="D36" i="5"/>
  <c r="D37" i="5"/>
  <c r="D38" i="5"/>
  <c r="D39" i="5"/>
  <c r="D40" i="5"/>
  <c r="J37" i="5"/>
  <c r="J38" i="5"/>
  <c r="J39" i="5"/>
  <c r="J40" i="5"/>
  <c r="J41" i="5"/>
  <c r="J42" i="5"/>
  <c r="J43" i="5"/>
  <c r="J44" i="5"/>
  <c r="J36" i="5"/>
  <c r="K60" i="5"/>
  <c r="K61" i="5"/>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P51" i="5"/>
  <c r="P52" i="5"/>
  <c r="P50" i="5"/>
  <c r="K51" i="5"/>
  <c r="K52" i="5"/>
  <c r="K53" i="5"/>
  <c r="K50" i="5"/>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145" i="5"/>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F20" i="5"/>
  <c r="B9" i="5"/>
  <c r="I11" i="5"/>
  <c r="I10" i="5"/>
  <c r="I9" i="5"/>
  <c r="F21" i="5"/>
  <c r="F23" i="5"/>
  <c r="F24" i="5"/>
  <c r="F27" i="5"/>
  <c r="F26" i="5"/>
  <c r="F29" i="5"/>
  <c r="F28" i="5"/>
  <c r="F25" i="5"/>
  <c r="F2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logistics_classification_dataset (1)" description="Connection to the 'logistics_classification_dataset (1)' query in the workbook." type="5" refreshedVersion="7" background="1" saveData="1">
    <dbPr connection="Provider=Microsoft.Mashup.OleDb.1;Data Source=$Workbook$;Location=&quot;logistics_classification_dataset (1)&quot;;Extended Properties=&quot;&quot;" command="SELECT * FROM [logistics_classification_dataset (1)]"/>
  </connection>
</connections>
</file>

<file path=xl/sharedStrings.xml><?xml version="1.0" encoding="utf-8"?>
<sst xmlns="http://schemas.openxmlformats.org/spreadsheetml/2006/main" count="4467" uniqueCount="71">
  <si>
    <t>Shipment_ID</t>
  </si>
  <si>
    <t>Origin_City</t>
  </si>
  <si>
    <t>Destination_City</t>
  </si>
  <si>
    <t>Shipment_Type</t>
  </si>
  <si>
    <t>Weight_kg</t>
  </si>
  <si>
    <t>Distance_km</t>
  </si>
  <si>
    <t>Customer_Segment</t>
  </si>
  <si>
    <t>On_Time</t>
  </si>
  <si>
    <t>Konya</t>
  </si>
  <si>
    <t>İstanbul</t>
  </si>
  <si>
    <t>Kara</t>
  </si>
  <si>
    <t>Bireysel</t>
  </si>
  <si>
    <t>Bursa</t>
  </si>
  <si>
    <t>Gaziantep</t>
  </si>
  <si>
    <t>Kurumsal</t>
  </si>
  <si>
    <t>Hava</t>
  </si>
  <si>
    <t>Antalya</t>
  </si>
  <si>
    <t>Kayseri</t>
  </si>
  <si>
    <t>İzmir</t>
  </si>
  <si>
    <t>Deniz</t>
  </si>
  <si>
    <t>Samsun</t>
  </si>
  <si>
    <t>Adana</t>
  </si>
  <si>
    <t>Ankara</t>
  </si>
  <si>
    <t>Count of Shipment_ID</t>
  </si>
  <si>
    <t>Grand Total</t>
  </si>
  <si>
    <t>Shipment_Type_Eng</t>
  </si>
  <si>
    <t>Customer_Segment_Eng</t>
  </si>
  <si>
    <t>Sea</t>
  </si>
  <si>
    <t>Air</t>
  </si>
  <si>
    <t>Road</t>
  </si>
  <si>
    <t>Row Labels</t>
  </si>
  <si>
    <t>Total of Late Shipments</t>
  </si>
  <si>
    <t>(All)</t>
  </si>
  <si>
    <t>Total destination late</t>
  </si>
  <si>
    <t xml:space="preserve">Total destination </t>
  </si>
  <si>
    <t>Rate of destination late</t>
  </si>
  <si>
    <t>Individual</t>
  </si>
  <si>
    <t>Average of On_Time</t>
  </si>
  <si>
    <t>Late rate</t>
  </si>
  <si>
    <t>Distance bucket</t>
  </si>
  <si>
    <t>0–500</t>
  </si>
  <si>
    <t>1001–1500</t>
  </si>
  <si>
    <t>1501–2000</t>
  </si>
  <si>
    <t>501–1000</t>
  </si>
  <si>
    <t>Corporate</t>
  </si>
  <si>
    <t>Bucket weight</t>
  </si>
  <si>
    <t>Origin</t>
  </si>
  <si>
    <t>Destination</t>
  </si>
  <si>
    <t>Shipments</t>
  </si>
  <si>
    <t>Late shipments</t>
  </si>
  <si>
    <t>Detination</t>
  </si>
  <si>
    <t>Transportation</t>
  </si>
  <si>
    <t>Percentage of late shipments</t>
  </si>
  <si>
    <t>Route</t>
  </si>
  <si>
    <t>Rate late</t>
  </si>
  <si>
    <t>Total shipment by transportations</t>
  </si>
  <si>
    <t>Rate late shipments by transportations</t>
  </si>
  <si>
    <t>Percentage</t>
  </si>
  <si>
    <t>KPI</t>
  </si>
  <si>
    <t>DESTINATION ANALYSIS</t>
  </si>
  <si>
    <t>ROUTE ANALYSIS</t>
  </si>
  <si>
    <t>Rate</t>
  </si>
  <si>
    <t>TOP 5 Routes</t>
  </si>
  <si>
    <t>Transport Breakdown</t>
  </si>
  <si>
    <t>Summary</t>
  </si>
  <si>
    <t>DEEP DIVE</t>
  </si>
  <si>
    <t>Late rate vs overall</t>
  </si>
  <si>
    <t>Route performance</t>
  </si>
  <si>
    <t>Weight performance</t>
  </si>
  <si>
    <t>Customer Segment performance</t>
  </si>
  <si>
    <t>ADDITIONAL DETAIL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</si>
</sst>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6"/>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4"/>
        <bgColor theme="4" tint="0.79998168889431442"/>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164" fontId="0" fillId="0" borderId="0" xfId="0" applyNumberFormat="1"/>
    <xf numFmtId="0" fontId="0" fillId="0" borderId="0" xfId="0" applyAlignment="1">
      <alignment horizontal="left"/>
    </xf>
    <xf numFmtId="0" fontId="0" fillId="0" borderId="0" xfId="0" pivotButton="1"/>
    <xf numFmtId="9" fontId="0" fillId="0" borderId="0" xfId="43" applyFont="1"/>
    <xf numFmtId="9" fontId="0" fillId="0" borderId="0" xfId="0" applyNumberFormat="1"/>
    <xf numFmtId="10" fontId="16" fillId="0" borderId="0" xfId="0" applyNumberFormat="1" applyFont="1"/>
    <xf numFmtId="0" fontId="0" fillId="0" borderId="0" xfId="0" applyAlignment="1">
      <alignment vertical="center"/>
    </xf>
    <xf numFmtId="0" fontId="16" fillId="34" borderId="0" xfId="0" applyFont="1" applyFill="1"/>
    <xf numFmtId="0" fontId="0" fillId="0" borderId="10" xfId="0" applyBorder="1"/>
    <xf numFmtId="0" fontId="0" fillId="0" borderId="10" xfId="0" pivotButton="1" applyBorder="1"/>
    <xf numFmtId="0" fontId="0" fillId="0" borderId="10" xfId="0" applyBorder="1" applyAlignment="1">
      <alignment horizontal="left"/>
    </xf>
    <xf numFmtId="0" fontId="16" fillId="34" borderId="10" xfId="0" applyFont="1" applyFill="1" applyBorder="1"/>
    <xf numFmtId="9" fontId="0" fillId="0" borderId="10" xfId="43" applyFont="1" applyBorder="1"/>
    <xf numFmtId="0" fontId="0" fillId="0" borderId="11" xfId="0" applyBorder="1"/>
    <xf numFmtId="0" fontId="0" fillId="0" borderId="11" xfId="0" applyBorder="1" applyAlignment="1">
      <alignment horizontal="left"/>
    </xf>
    <xf numFmtId="0" fontId="16" fillId="34" borderId="11" xfId="0" applyFont="1" applyFill="1" applyBorder="1"/>
    <xf numFmtId="9" fontId="0" fillId="0" borderId="11" xfId="43" applyFont="1" applyBorder="1"/>
    <xf numFmtId="43" fontId="16" fillId="34" borderId="10" xfId="42" applyFont="1" applyFill="1" applyBorder="1"/>
    <xf numFmtId="10" fontId="0" fillId="0" borderId="10" xfId="0" applyNumberFormat="1" applyBorder="1"/>
    <xf numFmtId="0" fontId="0" fillId="0" borderId="12" xfId="0" applyBorder="1"/>
    <xf numFmtId="0" fontId="0" fillId="0" borderId="13" xfId="0" applyBorder="1"/>
    <xf numFmtId="0" fontId="19" fillId="0" borderId="0" xfId="0" applyFont="1"/>
    <xf numFmtId="0" fontId="17" fillId="35" borderId="14" xfId="0" applyFont="1" applyFill="1" applyBorder="1"/>
    <xf numFmtId="0" fontId="17" fillId="35" borderId="15" xfId="0" applyFont="1" applyFill="1" applyBorder="1"/>
    <xf numFmtId="9" fontId="17" fillId="35" borderId="16" xfId="43" applyFont="1" applyFill="1" applyBorder="1"/>
    <xf numFmtId="9" fontId="0" fillId="33" borderId="13" xfId="43" applyFont="1" applyFill="1" applyBorder="1"/>
    <xf numFmtId="9" fontId="0" fillId="33" borderId="10" xfId="43" applyFont="1" applyFill="1" applyBorder="1"/>
    <xf numFmtId="9" fontId="0" fillId="33" borderId="11" xfId="43" applyFont="1" applyFill="1" applyBorder="1"/>
    <xf numFmtId="9" fontId="0" fillId="33" borderId="17" xfId="43" applyFont="1" applyFill="1" applyBorder="1"/>
    <xf numFmtId="9" fontId="0" fillId="33" borderId="18" xfId="43" applyFont="1" applyFill="1" applyBorder="1"/>
    <xf numFmtId="9" fontId="0" fillId="33" borderId="19" xfId="43" applyFont="1" applyFill="1" applyBorder="1"/>
    <xf numFmtId="0" fontId="0" fillId="0" borderId="17" xfId="0" applyBorder="1"/>
    <xf numFmtId="0" fontId="0" fillId="0" borderId="16" xfId="0" applyBorder="1"/>
    <xf numFmtId="0" fontId="0" fillId="0" borderId="14" xfId="0" applyBorder="1"/>
    <xf numFmtId="0" fontId="17" fillId="0" borderId="0" xfId="0" applyFont="1"/>
    <xf numFmtId="9" fontId="0" fillId="0" borderId="0" xfId="43" applyFont="1" applyFill="1" applyBorder="1"/>
    <xf numFmtId="0" fontId="0" fillId="0" borderId="15" xfId="0" applyBorder="1"/>
    <xf numFmtId="0" fontId="0" fillId="0" borderId="18" xfId="0" applyBorder="1"/>
    <xf numFmtId="9" fontId="0" fillId="0" borderId="19" xfId="43" applyFont="1" applyBorder="1"/>
    <xf numFmtId="0" fontId="0" fillId="33" borderId="10" xfId="43" applyNumberFormat="1" applyFont="1" applyFill="1" applyBorder="1"/>
    <xf numFmtId="0" fontId="0" fillId="33" borderId="18" xfId="43" applyNumberFormat="1" applyFont="1" applyFill="1" applyBorder="1"/>
    <xf numFmtId="9" fontId="0" fillId="0" borderId="16" xfId="43" applyFont="1" applyBorder="1"/>
    <xf numFmtId="10" fontId="0" fillId="0" borderId="11" xfId="43" applyNumberFormat="1" applyFont="1" applyBorder="1"/>
    <xf numFmtId="10" fontId="0" fillId="0" borderId="19" xfId="43" applyNumberFormat="1" applyFont="1" applyBorder="1"/>
    <xf numFmtId="10" fontId="16" fillId="34" borderId="0" xfId="0" applyNumberFormat="1" applyFont="1" applyFill="1"/>
    <xf numFmtId="0" fontId="0" fillId="0" borderId="13" xfId="0" pivotButton="1" applyBorder="1"/>
    <xf numFmtId="0" fontId="16" fillId="0" borderId="0" xfId="0" applyFont="1" applyAlignment="1">
      <alignment horizontal="center"/>
    </xf>
    <xf numFmtId="9" fontId="0" fillId="0" borderId="10" xfId="0" applyNumberFormat="1" applyBorder="1"/>
    <xf numFmtId="10" fontId="16" fillId="0" borderId="10" xfId="0" applyNumberFormat="1" applyFont="1" applyBorder="1"/>
    <xf numFmtId="0" fontId="0" fillId="0" borderId="15" xfId="0" pivotButton="1" applyBorder="1"/>
    <xf numFmtId="9" fontId="0" fillId="0" borderId="15" xfId="0" applyNumberFormat="1" applyBorder="1"/>
    <xf numFmtId="10" fontId="16" fillId="34" borderId="15" xfId="0" applyNumberFormat="1" applyFont="1" applyFill="1" applyBorder="1"/>
    <xf numFmtId="0" fontId="16" fillId="34" borderId="10" xfId="0" applyFont="1" applyFill="1" applyBorder="1" applyAlignment="1">
      <alignment horizontal="left"/>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1" xfId="0" applyBorder="1" applyAlignment="1">
      <alignment horizontal="left"/>
    </xf>
    <xf numFmtId="0" fontId="0" fillId="0" borderId="12" xfId="0" applyBorder="1" applyAlignment="1">
      <alignment horizontal="left"/>
    </xf>
    <xf numFmtId="0" fontId="0" fillId="0" borderId="10" xfId="0" applyBorder="1" applyAlignment="1">
      <alignment horizontal="left"/>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01">
    <dxf>
      <numFmt numFmtId="0" formatCode="General"/>
    </dxf>
    <dxf>
      <numFmt numFmtId="0" formatCode="General"/>
    </dxf>
    <dxf>
      <numFmt numFmtId="164" formatCode="0.0"/>
    </dxf>
    <dxf>
      <numFmt numFmtId="164" formatCode="0.0"/>
    </dxf>
    <dxf>
      <numFmt numFmtId="0" formatCode="General"/>
    </dxf>
    <dxf>
      <numFmt numFmtId="0" formatCode="General"/>
    </dxf>
    <dxf>
      <numFmt numFmtId="0" formatCode="General"/>
    </dxf>
    <dxf>
      <numFmt numFmtId="0" formatCode="General"/>
    </dxf>
    <dxf>
      <numFmt numFmtId="0" formatCode="General"/>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numFmt numFmtId="14" formatCode="0.00%"/>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13" formatCode="0%"/>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3" formatCode="0%"/>
      <fill>
        <patternFill patternType="solid">
          <fgColor theme="4" tint="0.79998168889431442"/>
          <bgColor theme="4" tint="0.79998168889431442"/>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3" formatCode="0%"/>
      <fill>
        <patternFill patternType="solid">
          <fgColor theme="4" tint="0.79998168889431442"/>
          <bgColor theme="4"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3" formatCode="0%"/>
      <fill>
        <patternFill patternType="solid">
          <fgColor theme="4" tint="0.79998168889431442"/>
          <bgColor theme="4"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3" formatCode="0%"/>
      <fill>
        <patternFill patternType="solid">
          <fgColor theme="4" tint="0.79998168889431442"/>
          <bgColor theme="4" tint="0.79998168889431442"/>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border>
        <bottom style="thin">
          <color indexed="64"/>
        </bottom>
      </border>
    </dxf>
    <dxf>
      <font>
        <b val="0"/>
        <i val="0"/>
        <strike val="0"/>
        <condense val="0"/>
        <extend val="0"/>
        <outline val="0"/>
        <shadow val="0"/>
        <u val="none"/>
        <vertAlign val="baseline"/>
        <sz val="11"/>
        <color theme="0"/>
        <name val="Calibri"/>
        <family val="2"/>
        <scheme val="minor"/>
      </font>
      <fill>
        <patternFill patternType="solid">
          <fgColor theme="4" tint="0.79998168889431442"/>
          <bgColor theme="4"/>
        </patternFill>
      </fill>
      <border diagonalUp="0" diagonalDown="0">
        <left style="thin">
          <color indexed="64"/>
        </left>
        <right style="thin">
          <color indexed="64"/>
        </right>
        <top/>
        <bottom/>
        <vertical style="thin">
          <color indexed="64"/>
        </vertical>
        <horizontal style="thin">
          <color indexed="64"/>
        </horizontal>
      </border>
    </dxf>
    <dxf>
      <numFmt numFmtId="1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ill>
        <patternFill>
          <bgColor theme="4" tint="0.39994506668294322"/>
        </patternFill>
      </fill>
    </dxf>
    <dxf>
      <fill>
        <patternFill>
          <bgColor theme="4" tint="0.39994506668294322"/>
        </patternFill>
      </fill>
      <border diagonalUp="0" diagonalDown="0">
        <left/>
        <right/>
        <top/>
        <bottom/>
        <vertical/>
        <horizontal/>
      </border>
    </dxf>
    <dxf>
      <fill>
        <patternFill patternType="none">
          <bgColor auto="1"/>
        </patternFill>
      </fill>
    </dxf>
  </dxfs>
  <tableStyles count="6" defaultTableStyle="TableStyleMedium2" defaultPivotStyle="PivotStyleLight16">
    <tableStyle name="Slicer Style 1" pivot="0" table="0" count="1" xr9:uid="{00000000-0011-0000-FFFF-FFFF00000000}">
      <tableStyleElement type="wholeTable" dxfId="100"/>
    </tableStyle>
    <tableStyle name="Slicer Style 2" pivot="0" table="0" count="1" xr9:uid="{00000000-0011-0000-FFFF-FFFF01000000}"/>
    <tableStyle name="Slicer Style 3" pivot="0" table="0" count="1" xr9:uid="{D4DA2F4A-7A30-4546-AB9D-A889D5112238}">
      <tableStyleElement type="wholeTable" dxfId="99"/>
    </tableStyle>
    <tableStyle name="Slicer Style 4" pivot="0" table="0" count="1" xr9:uid="{0CB2791C-EFE4-4395-8C0A-34F12A0CD80D}"/>
    <tableStyle name="Slicer Style 5" pivot="0" table="0" count="3" xr9:uid="{BEF13A5D-53F8-4B92-BEC3-04D1E1D14294}">
      <tableStyleElement type="wholeTable" dxfId="98"/>
    </tableStyle>
    <tableStyle name="Slicer Style 6" pivot="0" table="0" count="3" xr9:uid="{B2456DE4-24D3-468B-827D-76621306FD22}">
      <tableStyleElement type="wholeTable" dxfId="97"/>
    </tableStyle>
  </tableStyles>
  <colors>
    <mruColors>
      <color rgb="FF8FAADC"/>
      <color rgb="FF2E5292"/>
      <color rgb="FFDFE7F5"/>
      <color rgb="FFFFFFFF"/>
      <color rgb="FFD6E1F8"/>
      <color rgb="FF3C6ABE"/>
      <color rgb="FFEEEEEE"/>
      <color rgb="FFEAEAEA"/>
      <color rgb="FF586C8A"/>
    </mruColors>
  </colors>
  <extLst>
    <ext xmlns:x14="http://schemas.microsoft.com/office/spreadsheetml/2009/9/main" uri="{46F421CA-312F-682f-3DD2-61675219B42D}">
      <x14:dxfs count="6">
        <dxf>
          <fill>
            <patternFill>
              <bgColor theme="4" tint="0.39994506668294322"/>
            </patternFill>
          </fill>
        </dxf>
        <dxf>
          <fill>
            <patternFill>
              <bgColor theme="0"/>
            </patternFill>
          </fill>
          <border>
            <left style="thin">
              <color theme="4" tint="0.39994506668294322"/>
            </left>
            <right style="thin">
              <color theme="4" tint="0.39994506668294322"/>
            </right>
            <top style="thin">
              <color theme="4" tint="0.39994506668294322"/>
            </top>
            <bottom style="thin">
              <color theme="4" tint="0.39994506668294322"/>
            </bottom>
            <vertical/>
            <horizontal style="thin">
              <color theme="4" tint="0.39994506668294322"/>
            </horizontal>
          </border>
        </dxf>
        <dxf>
          <fill>
            <patternFill>
              <bgColor theme="4" tint="0.39994506668294322"/>
            </patternFill>
          </fill>
        </dxf>
        <dxf>
          <fill>
            <patternFill>
              <bgColor theme="4" tint="0.39994506668294322"/>
            </patternFill>
          </fill>
        </dxf>
        <dxf>
          <fill>
            <patternFill>
              <bgColor theme="4" tint="0.39994506668294322"/>
            </patternFill>
          </fill>
          <border>
            <vertical style="thin">
              <color auto="1"/>
            </vertical>
          </border>
        </dxf>
        <dxf>
          <fill>
            <patternFill patternType="solid">
              <bgColor theme="4" tint="0.59996337778862885"/>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NoData" dxfId="5"/>
          </x14:slicerStyleElements>
        </x14:slicerStyle>
        <x14:slicerStyle name="Slicer Style 3"/>
        <x14:slicerStyle name="Slicer Style 4">
          <x14:slicerStyleElements>
            <x14:slicerStyleElement type="selectedItemWithNoData" dxfId="4"/>
          </x14:slicerStyleElements>
        </x14:slicerStyle>
        <x14:slicerStyle name="Slicer Style 5">
          <x14:slicerStyleElements>
            <x14:slicerStyleElement type="hoveredSelectedItemWithData" dxfId="3"/>
            <x14:slicerStyleElement type="hoveredUnselectedItemWithNoData" dxfId="2"/>
          </x14:slicerStyleElements>
        </x14:slicerStyle>
        <x14:slicerStyle name="Slicer Style 6">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chemeClr val="tx2">
                    <a:lumMod val="75000"/>
                  </a:schemeClr>
                </a:solidFill>
                <a:latin typeface="Segoe UI" panose="020B0502040204020203" pitchFamily="34" charset="0"/>
                <a:ea typeface="+mn-ea"/>
                <a:cs typeface="Segoe UI" panose="020B0502040204020203" pitchFamily="34" charset="0"/>
              </a:defRPr>
            </a:pPr>
            <a:r>
              <a:rPr lang="en-US" sz="800" b="1" i="0" u="none" strike="noStrike" baseline="0"/>
              <a:t>Top 5 Routes by Late Rate</a:t>
            </a:r>
            <a:endParaRPr lang="en-US" sz="800" b="1">
              <a:solidFill>
                <a:schemeClr val="tx2">
                  <a:lumMod val="75000"/>
                </a:schemeClr>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chemeClr val="tx2">
                  <a:lumMod val="75000"/>
                </a:schemeClr>
              </a:solidFill>
              <a:latin typeface="Segoe UI" panose="020B0502040204020203" pitchFamily="34" charset="0"/>
              <a:ea typeface="+mn-ea"/>
              <a:cs typeface="Segoe UI" panose="020B0502040204020203" pitchFamily="34" charset="0"/>
            </a:defRPr>
          </a:pPr>
          <a:endParaRPr lang="en-US"/>
        </a:p>
      </c:txPr>
    </c:title>
    <c:autoTitleDeleted val="0"/>
    <c:plotArea>
      <c:layout/>
      <c:barChart>
        <c:barDir val="bar"/>
        <c:grouping val="clustered"/>
        <c:varyColors val="0"/>
        <c:ser>
          <c:idx val="0"/>
          <c:order val="0"/>
          <c:tx>
            <c:strRef>
              <c:f>'Pivot Table'!$E$35</c:f>
              <c:strCache>
                <c:ptCount val="1"/>
                <c:pt idx="0">
                  <c:v>Late rate</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Table'!$D$36:$D$40</c:f>
              <c:strCache>
                <c:ptCount val="5"/>
                <c:pt idx="0">
                  <c:v>Adana → İzmir</c:v>
                </c:pt>
                <c:pt idx="1">
                  <c:v>Kayseri → Ankara</c:v>
                </c:pt>
                <c:pt idx="2">
                  <c:v>Adana → Bursa</c:v>
                </c:pt>
                <c:pt idx="3">
                  <c:v>Kayseri → Bursa</c:v>
                </c:pt>
                <c:pt idx="4">
                  <c:v>Adana → Samsun</c:v>
                </c:pt>
              </c:strCache>
            </c:strRef>
          </c:cat>
          <c:val>
            <c:numRef>
              <c:f>'Pivot Table'!$E$36:$E$40</c:f>
              <c:numCache>
                <c:formatCode>0%</c:formatCode>
                <c:ptCount val="5"/>
                <c:pt idx="0">
                  <c:v>0.5</c:v>
                </c:pt>
                <c:pt idx="1">
                  <c:v>0.375</c:v>
                </c:pt>
                <c:pt idx="2">
                  <c:v>0.33333333333333298</c:v>
                </c:pt>
                <c:pt idx="3">
                  <c:v>0.33333333333333337</c:v>
                </c:pt>
                <c:pt idx="4">
                  <c:v>0.30769230769230771</c:v>
                </c:pt>
              </c:numCache>
            </c:numRef>
          </c:val>
          <c:extLst>
            <c:ext xmlns:c16="http://schemas.microsoft.com/office/drawing/2014/chart" uri="{C3380CC4-5D6E-409C-BE32-E72D297353CC}">
              <c16:uniqueId val="{00000000-B8A7-4EA7-B6C0-8A054F87363D}"/>
            </c:ext>
          </c:extLst>
        </c:ser>
        <c:dLbls>
          <c:showLegendKey val="0"/>
          <c:showVal val="0"/>
          <c:showCatName val="0"/>
          <c:showSerName val="0"/>
          <c:showPercent val="0"/>
          <c:showBubbleSize val="0"/>
        </c:dLbls>
        <c:gapWidth val="182"/>
        <c:axId val="727755247"/>
        <c:axId val="727755663"/>
      </c:barChart>
      <c:catAx>
        <c:axId val="72775524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crossAx val="727755663"/>
        <c:crosses val="autoZero"/>
        <c:auto val="1"/>
        <c:lblAlgn val="ctr"/>
        <c:lblOffset val="100"/>
        <c:noMultiLvlLbl val="0"/>
      </c:catAx>
      <c:valAx>
        <c:axId val="727755663"/>
        <c:scaling>
          <c:orientation val="minMax"/>
        </c:scaling>
        <c:delete val="1"/>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727755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spc="0" baseline="0">
                <a:solidFill>
                  <a:schemeClr val="tx1">
                    <a:lumMod val="75000"/>
                    <a:lumOff val="25000"/>
                  </a:schemeClr>
                </a:solidFill>
                <a:latin typeface="+mn-lt"/>
                <a:ea typeface="+mn-ea"/>
                <a:cs typeface="+mn-cs"/>
              </a:defRPr>
            </a:pPr>
            <a:r>
              <a:rPr lang="en-US" sz="900" b="1" i="0" u="none" strike="noStrike" baseline="0"/>
              <a:t>Late Rate by Shipment Weight</a:t>
            </a:r>
            <a:endParaRPr lang="en-US" sz="800" b="1">
              <a:solidFill>
                <a:schemeClr val="tx1">
                  <a:lumMod val="75000"/>
                  <a:lumOff val="25000"/>
                </a:schemeClr>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Table'!$I$63</c:f>
              <c:strCache>
                <c:ptCount val="1"/>
                <c:pt idx="0">
                  <c:v>Late rate</c:v>
                </c:pt>
              </c:strCache>
            </c:strRef>
          </c:tx>
          <c:spPr>
            <a:solidFill>
              <a:schemeClr val="accent1">
                <a:lumMod val="60000"/>
                <a:lumOff val="40000"/>
              </a:schemeClr>
            </a:solidFill>
            <a:ln w="6350" cap="rnd">
              <a:solidFill>
                <a:schemeClr val="bg1">
                  <a:lumMod val="95000"/>
                </a:schemeClr>
              </a:solidFill>
            </a:ln>
            <a:effectLst/>
          </c:spPr>
          <c:invertIfNegative val="0"/>
          <c:dPt>
            <c:idx val="0"/>
            <c:invertIfNegative val="0"/>
            <c:bubble3D val="0"/>
            <c:spPr>
              <a:solidFill>
                <a:srgbClr val="8FAADC"/>
              </a:solidFill>
              <a:ln w="6350" cap="rnd">
                <a:solidFill>
                  <a:schemeClr val="bg1">
                    <a:lumMod val="95000"/>
                  </a:schemeClr>
                </a:solidFill>
              </a:ln>
              <a:effectLst/>
            </c:spPr>
            <c:extLst>
              <c:ext xmlns:c16="http://schemas.microsoft.com/office/drawing/2014/chart" uri="{C3380CC4-5D6E-409C-BE32-E72D297353CC}">
                <c16:uniqueId val="{00000002-CFA4-445D-A939-10BA46BE4A8F}"/>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Table'!$H$64:$H$67</c:f>
              <c:strCache>
                <c:ptCount val="4"/>
                <c:pt idx="0">
                  <c:v>0–500</c:v>
                </c:pt>
                <c:pt idx="1">
                  <c:v>501–1000</c:v>
                </c:pt>
                <c:pt idx="2">
                  <c:v>1001–1500</c:v>
                </c:pt>
                <c:pt idx="3">
                  <c:v>1501–2000</c:v>
                </c:pt>
              </c:strCache>
            </c:strRef>
          </c:cat>
          <c:val>
            <c:numRef>
              <c:f>'Pivot Table'!$I$64:$I$67</c:f>
              <c:numCache>
                <c:formatCode>0%</c:formatCode>
                <c:ptCount val="4"/>
                <c:pt idx="0">
                  <c:v>0.19798657718120805</c:v>
                </c:pt>
                <c:pt idx="1">
                  <c:v>0.15837104072398189</c:v>
                </c:pt>
                <c:pt idx="2">
                  <c:v>0.10569105691056913</c:v>
                </c:pt>
                <c:pt idx="3">
                  <c:v>0.17021276595744683</c:v>
                </c:pt>
              </c:numCache>
            </c:numRef>
          </c:val>
          <c:extLst>
            <c:ext xmlns:c16="http://schemas.microsoft.com/office/drawing/2014/chart" uri="{C3380CC4-5D6E-409C-BE32-E72D297353CC}">
              <c16:uniqueId val="{00000000-CFA4-445D-A939-10BA46BE4A8F}"/>
            </c:ext>
          </c:extLst>
        </c:ser>
        <c:dLbls>
          <c:showLegendKey val="0"/>
          <c:showVal val="0"/>
          <c:showCatName val="0"/>
          <c:showSerName val="0"/>
          <c:showPercent val="0"/>
          <c:showBubbleSize val="0"/>
        </c:dLbls>
        <c:gapWidth val="219"/>
        <c:overlap val="-27"/>
        <c:axId val="721968607"/>
        <c:axId val="721969439"/>
      </c:barChart>
      <c:catAx>
        <c:axId val="72196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721969439"/>
        <c:crosses val="autoZero"/>
        <c:auto val="1"/>
        <c:lblAlgn val="ctr"/>
        <c:lblOffset val="100"/>
        <c:noMultiLvlLbl val="0"/>
      </c:catAx>
      <c:valAx>
        <c:axId val="721969439"/>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721968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600" b="0" i="0" u="none" strike="noStrike" kern="1200" spc="0" baseline="0">
                <a:solidFill>
                  <a:schemeClr val="tx1">
                    <a:lumMod val="65000"/>
                    <a:lumOff val="35000"/>
                  </a:schemeClr>
                </a:solidFill>
                <a:latin typeface="+mn-lt"/>
                <a:ea typeface="+mn-ea"/>
                <a:cs typeface="+mn-cs"/>
              </a:defRPr>
            </a:pPr>
            <a:r>
              <a:rPr lang="en-US" sz="600" b="1">
                <a:solidFill>
                  <a:schemeClr val="tx1">
                    <a:lumMod val="75000"/>
                    <a:lumOff val="25000"/>
                  </a:schemeClr>
                </a:solidFill>
                <a:latin typeface="Segoe UI" panose="020B0502040204020203" pitchFamily="34" charset="0"/>
                <a:cs typeface="Segoe UI" panose="020B0502040204020203" pitchFamily="34" charset="0"/>
              </a:rPr>
              <a:t>Late Shipments by Transportation</a:t>
            </a:r>
            <a:r>
              <a:rPr lang="en-US" sz="600" b="1" baseline="0">
                <a:solidFill>
                  <a:schemeClr val="tx1">
                    <a:lumMod val="75000"/>
                    <a:lumOff val="25000"/>
                  </a:schemeClr>
                </a:solidFill>
                <a:latin typeface="Segoe UI" panose="020B0502040204020203" pitchFamily="34" charset="0"/>
                <a:cs typeface="Segoe UI" panose="020B0502040204020203" pitchFamily="34" charset="0"/>
              </a:rPr>
              <a:t> Types of Top 5 Routes</a:t>
            </a:r>
            <a:endParaRPr lang="en-US" sz="600" b="1">
              <a:solidFill>
                <a:schemeClr val="tx1">
                  <a:lumMod val="75000"/>
                  <a:lumOff val="25000"/>
                </a:schemeClr>
              </a:solidFill>
              <a:latin typeface="Segoe UI" panose="020B0502040204020203" pitchFamily="34" charset="0"/>
              <a:cs typeface="Segoe UI" panose="020B0502040204020203" pitchFamily="34" charset="0"/>
            </a:endParaRPr>
          </a:p>
        </c:rich>
      </c:tx>
      <c:layout>
        <c:manualLayout>
          <c:xMode val="edge"/>
          <c:yMode val="edge"/>
          <c:x val="0.10342465072780453"/>
          <c:y val="7.1244252044710688E-2"/>
        </c:manualLayout>
      </c:layout>
      <c:overlay val="0"/>
      <c:spPr>
        <a:noFill/>
        <a:ln>
          <a:noFill/>
        </a:ln>
        <a:effectLst/>
      </c:spPr>
      <c:txPr>
        <a:bodyPr rot="0" spcFirstLastPara="1" vertOverflow="ellipsis" vert="horz" wrap="square" anchor="ctr" anchorCtr="1"/>
        <a:lstStyle/>
        <a:p>
          <a:pPr algn="l">
            <a:defRPr sz="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5834963682851436"/>
          <c:y val="0.28071834139998553"/>
          <c:w val="0.47683818198007971"/>
          <c:h val="0.54158318283609053"/>
        </c:manualLayout>
      </c:layout>
      <c:pieChart>
        <c:varyColors val="1"/>
        <c:ser>
          <c:idx val="0"/>
          <c:order val="0"/>
          <c:tx>
            <c:strRef>
              <c:f>'Pivot Table'!$L$35</c:f>
              <c:strCache>
                <c:ptCount val="1"/>
                <c:pt idx="0">
                  <c:v>Percentage</c:v>
                </c:pt>
              </c:strCache>
            </c:strRef>
          </c:tx>
          <c:dPt>
            <c:idx val="0"/>
            <c:bubble3D val="0"/>
            <c:spPr>
              <a:gradFill>
                <a:gsLst>
                  <a:gs pos="0">
                    <a:srgbClr val="8FAADC"/>
                  </a:gs>
                  <a:gs pos="100000">
                    <a:srgbClr val="2E5292"/>
                  </a:gs>
                </a:gsLst>
                <a:lin ang="5400000" scaled="1"/>
              </a:gradFill>
              <a:ln w="19050">
                <a:solidFill>
                  <a:schemeClr val="lt1"/>
                </a:solidFill>
              </a:ln>
              <a:effectLst/>
            </c:spPr>
            <c:extLst>
              <c:ext xmlns:c16="http://schemas.microsoft.com/office/drawing/2014/chart" uri="{C3380CC4-5D6E-409C-BE32-E72D297353CC}">
                <c16:uniqueId val="{00000001-0A35-456F-9B7C-E1796D8FF887}"/>
              </c:ext>
            </c:extLst>
          </c:dPt>
          <c:dPt>
            <c:idx val="1"/>
            <c:bubble3D val="0"/>
            <c:spPr>
              <a:solidFill>
                <a:srgbClr val="DFE7F5"/>
              </a:solidFill>
              <a:ln w="19050">
                <a:solidFill>
                  <a:schemeClr val="lt1"/>
                </a:solidFill>
              </a:ln>
              <a:effectLst/>
            </c:spPr>
            <c:extLst>
              <c:ext xmlns:c16="http://schemas.microsoft.com/office/drawing/2014/chart" uri="{C3380CC4-5D6E-409C-BE32-E72D297353CC}">
                <c16:uniqueId val="{00000003-0A35-456F-9B7C-E1796D8FF887}"/>
              </c:ext>
            </c:extLst>
          </c:dPt>
          <c:dLbls>
            <c:dLbl>
              <c:idx val="0"/>
              <c:layout>
                <c:manualLayout>
                  <c:x val="-0.2333467199708249"/>
                  <c:y val="-3.11586435966596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35-456F-9B7C-E1796D8FF887}"/>
                </c:ext>
              </c:extLst>
            </c:dLbl>
            <c:dLbl>
              <c:idx val="1"/>
              <c:layout>
                <c:manualLayout>
                  <c:x val="0.19302429481893052"/>
                  <c:y val="8.9970082802322701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rgbClr val="2E529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35-456F-9B7C-E1796D8FF887}"/>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Table'!$K$36:$K$37</c:f>
              <c:strCache>
                <c:ptCount val="2"/>
                <c:pt idx="0">
                  <c:v>Road</c:v>
                </c:pt>
                <c:pt idx="1">
                  <c:v>Air</c:v>
                </c:pt>
              </c:strCache>
            </c:strRef>
          </c:cat>
          <c:val>
            <c:numRef>
              <c:f>'Pivot Table'!$L$36:$L$37</c:f>
              <c:numCache>
                <c:formatCode>0.00%</c:formatCode>
                <c:ptCount val="2"/>
                <c:pt idx="0">
                  <c:v>0.66666666666666663</c:v>
                </c:pt>
                <c:pt idx="1">
                  <c:v>0.33333333333333331</c:v>
                </c:pt>
              </c:numCache>
            </c:numRef>
          </c:val>
          <c:extLst>
            <c:ext xmlns:c16="http://schemas.microsoft.com/office/drawing/2014/chart" uri="{C3380CC4-5D6E-409C-BE32-E72D297353CC}">
              <c16:uniqueId val="{00000004-0A35-456F-9B7C-E1796D8FF887}"/>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33128102872033083"/>
          <c:y val="0.84442768098271359"/>
          <c:w val="0.33743748937857587"/>
          <c:h val="9.768519890151213E-2"/>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rich>
          <a:bodyPr spcFirstLastPara="1" vertOverflow="ellipsis" horzOverflow="overflow" wrap="square" lIns="0" tIns="0" rIns="0" bIns="0" anchor="ctr" anchorCtr="1"/>
          <a:lstStyle/>
          <a:p>
            <a:pPr algn="ctr" rtl="0">
              <a:defRPr sz="900" b="1">
                <a:latin typeface="Segoe UI" panose="020B0502040204020203" pitchFamily="34" charset="0"/>
                <a:ea typeface="Segoe UI" panose="020B0502040204020203" pitchFamily="34" charset="0"/>
                <a:cs typeface="Segoe UI" panose="020B0502040204020203" pitchFamily="34" charset="0"/>
              </a:defRPr>
            </a:pPr>
            <a:r>
              <a:rPr lang="en-US" sz="900" b="1" i="0" u="none" strike="noStrike" baseline="0">
                <a:solidFill>
                  <a:sysClr val="windowText" lastClr="000000">
                    <a:lumMod val="65000"/>
                    <a:lumOff val="35000"/>
                  </a:sysClr>
                </a:solidFill>
                <a:latin typeface="Calibri" panose="020F0502020204030204"/>
                <a:ea typeface="Calibri" panose="020F0502020204030204" pitchFamily="34" charset="0"/>
                <a:cs typeface="Calibri" panose="020F0502020204030204" pitchFamily="34" charset="0"/>
              </a:rPr>
              <a:t>Late Rate Shipment by Destination</a:t>
            </a:r>
            <a:endParaRPr lang="en-US" sz="900" b="1" i="0" u="none" strike="noStrike" baseline="0">
              <a:solidFill>
                <a:sysClr val="windowText" lastClr="000000">
                  <a:lumMod val="65000"/>
                  <a:lumOff val="35000"/>
                </a:sysClr>
              </a:solidFill>
              <a:latin typeface="Segoe UI" panose="020B0502040204020203" pitchFamily="34" charset="0"/>
              <a:cs typeface="Segoe UI" panose="020B0502040204020203" pitchFamily="34" charset="0"/>
            </a:endParaRPr>
          </a:p>
        </cx:rich>
      </cx:tx>
    </cx:title>
    <cx:plotArea>
      <cx:plotAreaRegion>
        <cx:series layoutId="regionMap" uniqueId="{9435F1A4-B338-4A51-8C9B-B34682712548}">
          <cx:tx>
            <cx:txData>
              <cx:f>_xlchart.v5.2</cx:f>
              <cx:v>Rate late</cx:v>
            </cx:txData>
          </cx:tx>
          <cx:dataLabels>
            <cx:txPr>
              <a:bodyPr spcFirstLastPara="1" vertOverflow="ellipsis" horzOverflow="overflow" wrap="square" lIns="0" tIns="0" rIns="0" bIns="0" anchor="ctr" anchorCtr="1"/>
              <a:lstStyle/>
              <a:p>
                <a:pPr algn="ctr" rtl="0">
                  <a:defRPr sz="400" b="1">
                    <a:solidFill>
                      <a:schemeClr val="bg1"/>
                    </a:solidFill>
                    <a:effectLst>
                      <a:outerShdw blurRad="50800" dist="38100" dir="2700000" algn="tl" rotWithShape="0">
                        <a:prstClr val="black">
                          <a:alpha val="40000"/>
                        </a:prstClr>
                      </a:outerShdw>
                    </a:effectLst>
                    <a:latin typeface="Segoe UI" panose="020B0502040204020203" pitchFamily="34" charset="0"/>
                    <a:ea typeface="Segoe UI" panose="020B0502040204020203" pitchFamily="34" charset="0"/>
                    <a:cs typeface="Segoe UI" panose="020B0502040204020203" pitchFamily="34" charset="0"/>
                  </a:defRPr>
                </a:pPr>
                <a:endParaRPr lang="en-US" sz="400" b="1" i="0" u="none" strike="noStrike" baseline="0">
                  <a:solidFill>
                    <a:schemeClr val="bg1"/>
                  </a:solidFill>
                  <a:effectLst>
                    <a:outerShdw blurRad="50800" dist="38100" dir="2700000" algn="tl" rotWithShape="0">
                      <a:prstClr val="black">
                        <a:alpha val="40000"/>
                      </a:prstClr>
                    </a:outerShdw>
                  </a:effectLst>
                  <a:latin typeface="Segoe UI" panose="020B0502040204020203" pitchFamily="34" charset="0"/>
                  <a:cs typeface="Segoe UI" panose="020B0502040204020203" pitchFamily="34" charset="0"/>
                </a:endParaRPr>
              </a:p>
            </cx:txPr>
            <cx:dataLabel idx="0">
              <cx:txPr>
                <a:bodyPr spcFirstLastPara="1" vertOverflow="ellipsis" horzOverflow="overflow" wrap="square" lIns="0" tIns="0" rIns="0" bIns="0" anchor="ctr" anchorCtr="1"/>
                <a:lstStyle/>
                <a:p>
                  <a:pPr algn="ctr" rtl="0">
                    <a:defRPr sz="400"/>
                  </a:pPr>
                  <a:r>
                    <a:rPr lang="en-US" sz="400" b="1" i="0" u="none" strike="noStrike" baseline="0">
                      <a:solidFill>
                        <a:schemeClr val="bg1"/>
                      </a:solidFill>
                      <a:latin typeface="Segoe UI" panose="020B0502040204020203" pitchFamily="34" charset="0"/>
                      <a:cs typeface="Segoe UI" panose="020B0502040204020203" pitchFamily="34" charset="0"/>
                    </a:rPr>
                    <a:t>11%</a:t>
                  </a:r>
                </a:p>
              </cx:txPr>
            </cx:dataLabel>
            <cx:dataLabel idx="3">
              <cx:txPr>
                <a:bodyPr spcFirstLastPara="1" vertOverflow="ellipsis" horzOverflow="overflow" wrap="square" lIns="0" tIns="0" rIns="0" bIns="0" anchor="ctr" anchorCtr="1"/>
                <a:lstStyle/>
                <a:p>
                  <a:pPr algn="ctr" rtl="0">
                    <a:defRPr sz="500"/>
                  </a:pPr>
                  <a:r>
                    <a:rPr lang="en-US" sz="500" b="1" i="0" u="none" strike="noStrike" baseline="0">
                      <a:solidFill>
                        <a:schemeClr val="bg1"/>
                      </a:solidFill>
                      <a:latin typeface="Segoe UI" panose="020B0502040204020203" pitchFamily="34" charset="0"/>
                      <a:cs typeface="Segoe UI" panose="020B0502040204020203" pitchFamily="34" charset="0"/>
                    </a:rPr>
                    <a:t>22%</a:t>
                  </a:r>
                </a:p>
              </cx:txPr>
            </cx:dataLabel>
            <cx:dataLabel idx="5">
              <cx:txPr>
                <a:bodyPr spcFirstLastPara="1" vertOverflow="ellipsis" horzOverflow="overflow" wrap="square" lIns="0" tIns="0" rIns="0" bIns="0" anchor="ctr" anchorCtr="1"/>
                <a:lstStyle/>
                <a:p>
                  <a:pPr algn="ctr" rtl="0">
                    <a:defRPr sz="300"/>
                  </a:pPr>
                  <a:r>
                    <a:rPr lang="en-US" sz="300" b="1" i="0" u="none" strike="noStrike" baseline="0">
                      <a:solidFill>
                        <a:schemeClr val="bg1"/>
                      </a:solidFill>
                      <a:effectLst>
                        <a:outerShdw blurRad="50800" dist="38100" dir="2700000" algn="tl" rotWithShape="0">
                          <a:prstClr val="black">
                            <a:alpha val="40000"/>
                          </a:prstClr>
                        </a:outerShdw>
                      </a:effectLst>
                      <a:latin typeface="Segoe UI" panose="020B0502040204020203" pitchFamily="34" charset="0"/>
                      <a:cs typeface="Segoe UI" panose="020B0502040204020203" pitchFamily="34" charset="0"/>
                    </a:rPr>
                    <a:t>13%</a:t>
                  </a:r>
                </a:p>
              </cx:txPr>
            </cx:dataLabel>
          </cx:dataLabels>
          <cx:dataId val="0"/>
          <cx:layoutPr>
            <cx:geography cultureLanguage="en-US" cultureRegion="ID" attribution="Powered by Bing">
              <cx:geoCache provider="{E9337A44-BEBE-4D9F-B70C-5C5E7DAFC167}">
                <cx:binary>1Hvbct04suWvVPh56CJxIYCO7hMxIPddd8uyVS8MWZZ5BUAC4A1fdT5g3uZ82KSq7Cpb7a7qiVMT
MaUHOURsEEAuZObKldt/f1z+9tg9PdgfFtVp97fH5R+vKu/7v/34o3usntSDe63qR2uc+eRfPxr1
o/n0qX58+vGjfZhrXf6I4oT8+Fg9WP+0vPqPv8PbyidzZh4ffG309fhk15snN3be/c7Yd4d+ePio
ap3Xztv60Sf/ePXmQblRv/rhSfvar7dr//SPV9985tUPP7580z+t+kMHG/PjR5hLkteIC0IpSeKf
f9CrHzqjy8/DOH2NsUBMJKn4+Yd/WfriQcH0P97Oz5t5+PjRPjkHp/n539/mfbP13x4/mlH7Z6OV
YL9/vLr93//LtvX69OqH2pnsl7HMPG//9ubn8/74rcX/4+8vHoAFXjz5CpSX5vqjoX/C5H/q9sE+
fDHMfx8TLF5zkdKEs+9jgl7zNBEM8fgXTNiXpX/B5I+3831Mvsx7gcmXx38xTD4+6D8TkvS14Jgl
nH/2A7D5125CX2MkOCCGX2DxR9v4F1D8Mu0lEr88/YsBof1Dt/65UAAKWMQp/+X6i2+hiF+D2xBA
4jNSMPxLsPziHX+4n3+ByZeDvETly/O/Fi5ytO5PRIXErxNOGcf4MyrfOggSr2OapmmSfo5ZL1D5
w918H5PP014g8vnpXwuP08Pqnmz95bL+CVmEv2YIMS4Y/TV1fxuyCBcxib/4yYvM/m/s5/uY/Drx
BSq/Pv9r4bJ7CPWD9k/9n4gMex2nlJMk/Y1UfY0Me41ZGjNB018oWfJl6V8i2L+1o+9j89XUF+h8
NfLXwue//tP5B/1h7L4Y6b/vOcCJ4wQJkaYvghh/LRhhkOc/J54XQezwb+zk+7j8NvMFLL8N/NVQ
Caq2fx4kmL8mwK4QiT/7xLdlCmKvATAYovD862z/X//5R/v4PiBf5r2A48vjvxYYJ6P/VALGXkNl
AgEM4++WjOg1EVxQTsV3w9cf7ub7iHye9gKQz0///8bjX+7u6yL+mw/9Xxbx4B1g8ZjS9DMiUIV8
nVDoa4IxiklKv/WO3+rqf72T76Px28xv9v3/vlT/12X8rypH/uAfNj/LI19V8r8/+vMhQbJ5MfUb
leWbg36x4+HjP14hDGb9VXR5fsU3Ieg3U/1i5F+nPD04DwIMec0TllJILDGLcYLgZfPT8wiir1OG
WSyg5sScsDR99YM21lcwCb2GGocA36YUIQKk+tUPzozPQ5jC+yijjNGEpIQT8qsgdWW6tTT6V1N8
/vsHPaorU2vv/vEKluh/+dTzNiHeYiDtwOlhc6mAJWMYf3y4Ac0LPpz8DyZGl/YEk6ztm/uxms+m
TpzU0Eu1zFBd/GqV7y2VPr/s5WIcXkYSwsAQAhjp14u1o0NeD3TKvIlUeKOaPumPTid1JUdvBi1R
v6DkvKKi+WSD1XynKjxPm8SNfB87FSlZqZQSyZOx6K8jPoz00JZl467QQLne69r4aktDq6PD4FS6
nNBQ+GGfspmd47obzGVbeXRGXe3LC1019ZrPwi7DqaJrOWwDQV2VT4qXa458oG6bRLGyMmls2LQD
CjpfbPc8iaKllqSguN350fur2qcs2U641fg49mpos04PSu3JTIou69F0uZYjvMkvemqytFf9vWh5
OkjTBhxlg2MDkXaqwBTN6PBVY0reZH0700qmNoheDvCCbEbdVG6FCXGST3ETT9LzuIrO52WJDyQV
Zsytn+daZSEm7bDTqUnU2dTXVJO8G2PGZRPSwh+Q0E2RqXWkQs59PbYZd4mwuyqY2stkjuIlcyWA
KHncCCapG8u7eR2DPgQzkXdN1BBJpjL6UDZqkyTRdT/RNKcIdqpDtGQVmqLNXBeJRC4MsiORk3h+
flNb6LyPYMWJs109jxsS6STrEufzsVpKmXp6IXp2U6ZVnyeFvxMRbuUalyYP1suoQu+rkd2ma3MT
ad9ubIQu4Y6jc9cjLrsAei0rt1NB4kzFTmRw9Q/DyulBKFrIulRUuiDKrIU9yKYejnU6HsUa19m0
oC3mcSsT7HdGDSqLaJ01LLqclnk/TWHO65nsO6dt3rbzNcLVqUZVnVdNtOW+m7PBqzkHuZXnA4Ct
6uJjMXtJrFBZkgzHOZ5WuRRur4JC52ihN0QjOBsqHyqHjisrz3ve9Xnr0ikfQqF2iXZbMtArPnV5
s4x93iTRxZSM28DtzZqUF22w0b53/jgljSz4WMqYuVG2jT2PijlfED130Wzkotcdm9d9WPVlEmAH
vUnPTDpdUVQ9JQJlZWXtrR2nN3iMN1SvFyvuKqnG4i320ykmxT4iTdiMws9gv+KwpKHI18i/511c
ScTqPKC1lXEanvdWZ8bPdYb8KtNy0YeSLVxqH2yW8CiVpFU6s+Aneaerd8SWkYzEeDnx1WTMR1YC
9chFVUkdiY9JJIwsxXLB6qHZVdQ9uQV1slzHKedFs8EI5bYL2yIki+xbd94n6jZtTSXpIE4zCmc6
1FcGlavECcumEF8shS6lWukMC7Vkq3Sjs6I3y7bARkmOkjvUiy6vuV+kCG7Hu1HS1L+HjZ4hDkcR
Pn4UUbsZ4spchbr6ZDt3UygeZCKmnR3Sk+7G9yle9h7XgyQ6qmRN3YfKiikbCzxuR1KTbDVFlK8W
n0cCndgKh0adErIY3AccsUq6IhwaUrsz3w8hX9PmCveG7ETfXwlV+AvbTI2chrAfI8MlrthTgtOt
Mtyc1ra86RMPnrik8wZRGiQZjAVtxfLM6HBGSmwzhUzIMG4/lXXrpZvEXWjXzCdBn9jY3xdiKjaF
ppnt+idTi0SWKGJSRHRLybihSxPJSdWLtFzkXV3V0jF0OQUMT3x9clXc7+oo3WJVV9nKeCW7UVwS
lxyrFR/Koj3FjdKyFX4TT8W1a0ciwwAeipi6borGSlvTOZto57MW07uSJy2MTVXWR9MoTYGqLRvS
nxI6nRBt+VXBENv4XqNNY9jtMqTs0AzzfqDtwQ3zkvly2DeV3fB5OKwBVsM2XTPUkjqLqiTctJCm
pSHqfNFDsWvHJrOmZftkaQ6pYh9nW5lcz+suwjGWEyvbDatGnOGiinIIFo+hS/JecySJWPpMt6Pf
lAPaEvjzLHYDzQiZmoOeouPCV9hp5Z3LyqGN7ypVVPuRjdui7DcEuzojTXHdsfIiVfZxoHC/zdRJ
U1d0I/iwUY7WkvEizuK1vlWxyJGbmUxnX2WWWgdxt7xwA9+sq2WbVFXLBpKEvoC7bjZJPNvkfOmC
yJLZRZcxVi4XY1VK3DWDxP0AuE7ttkvdkYlo2diioLIR08kM3XHoscusYJ/w3EI0SNoW8mKJuk3N
E8/zEA8HrqPj0Oj4RLk3siZFux/NUu2Rrq/Lzt4ThM+NSm49Vkgqw3YWx+mchcDeaTHgJ9eo6EKj
RMgwd+esM+e6GntpcKBZR9ctd8MH0Ve3aDbkaVVdnNN0uGTpuF63w9rtFlxvIfl9CMzc+94MUqhh
PTRRvC9Qt+S06PfVqJFsdM83djYHnUaxLFjxYV3K/TzQT5OpcIamnu8bUvVXk2rmU5L2eNMmHEOK
1Oq2LCBjjoyQbOw6DIYCkHS8vNWsSeQ4VRvh5kV2aX+D6IpzUifnwXSflA5uK8a+l8uKL+oWHEoR
N2a01kMWBeVlrSmkWTtejsKVCCKd1Xmp9DsNXC3re8fB8VvgC2K8K0Shs7RlndQVjaRWxXpktj+N
pbCHGLpumVD1qYG7IXUZx7Jizb32ejz0MX3P115sYhN+Knt1HUF4KkiC5WyFPUeKohzXLTmLcRsy
tIy1nMgQ5Yo0+1C1R27qa2rsOWf6DeU13iRrmT7nvnlDK0RuglgLiVXcZWWIuzc8Dfd0GZFcJ7Ir
TKcAy7jeR2U05MmkxuvB9c2JoOi8d73IeRrfl+ARsk7i8SwVzQrRPGUbMavo44y7x3FZzEWy1De0
9i0AB5RH8Ci5o5xt9UzrHelNlJmQ3get+m0MXHvrK2RkogD2IVrxJbZ+58LigbC082aKi0Pr8Yar
6kDQeAka0cNMlnO44eQsndSUp0W3HbtSyYiKi1Gt4CcrN1nrITmoNgHKzJj0bZmXJJySVmhp9PTR
xN1G4OTU1dRKLNqHtMWXwYrLxte3/UTyJO7ObRU3suy7x1YMMipKyG4mjfM6xPtQ06sU4Wsf1G5F
5P0SOjgusAsgclXm+cDl0sUPntdGmpHewWmN5MPyYZrR25h5K2s2n5RNbgVcRIVieyRjOmW8m6N8
tGV9qZSCqyjslBk33PdNtMgxFOjCwGaWQ2NLIGWkX7txx+3SV9c1bxSkFR6xJZvSWT/VM2LtoaqG
CWXt2qmbMkbtcq4g8SRZ3VJV5TZQeuprFae7KCl0JE2DGduTlMX6obWhfTc3o5kGuUJnaMpIKfC5
G0kMlBDHSdZYBy8hTGt3GVtcCPn7tclz5fFtZSIIei6pQBUkaZI8l0lflUFTKegUIRtnI6x3Ukzz
09K66LyBEuEq6vvofDCsmLJojpo/WBokx39aOkYxHJQJ8ayAfbt0qREg11VxZhQDut1MyOQG7vuZ
nqqizNZ6XWzW0MJd/v6Rn+vOFwszEQvCY7j7iCcYNIWvz9xbP43QZBszkpiohtorIrWcGz/0Wcd5
i2U0CNZkzZomKGtSBVdOA12NAWLhchyz9g3FZNpFQ4fft8+ZeCaJjiVTvsxD63mX8zUyMXDRQE9V
DCxB4ZY1Mlo1RjK2NL4drSn7rIym5er3T/fPVoWiOsUJjyl0EvmzbPj14QbNKtZNbMy8st2do6K7
m+JuHykEBCBaI/Y+HVoeb35/1QSU+xc2FRg6+6mgKOGE4xf3qI2Cx2U8x1naTF2dE93jt3hIiNva
ZVGFtGhaG2loDU6s1AIFzrLyiD6Hti4DdxPRH9yuf6rvfxYdQElIMAh2oBt8a4ekivgocO+zjs3l
h6nkPYQLHWyZYdSA6S0LKc9/3wovLxZ9lgYxoqAoCBoL9mLNGS2WsYKU+diFo2J7XYyb0bz/g0Ve
IgxaGHxDAtpfNOUIc/ri+tIZB6eYUXnyRmy7PBwuVZrvnPzw03TUW/OeyOQakkYy5DHKMr6HoL/9
/S3Aai8VDWh5QpuagzjHIAbTl5toGyjxWGmKzFfDSbTmtiqAfvUtVCaYmeLNUs027yJ6XKr2slf0
0HsIvYrXbr92fZBA857zcqXl4CHMGSbccWHVpzQaD0U5dm2mfAMEyuD2GtlQ5YnrGuCs1TvfsxbC
POl3JO1yJqosuHTrQDSgq3ljOnpkdXrVN3OeJjZPI3PhLdr7rncyjezBDNjIvvFZodUq/cQhX2Nc
ywYo4hlPW7SBIr6Ss5qvRly8t3GxEVS9gS9QPQasTnziVQ7Fy0WXzu8sXY60AyvTdXpXjPM9cst9
PPXvCoyODdanCEJc3vhmw3ooKZdkOEwqGuQSidtyRrkqAaMi3rZ1ujNkOcTJcCkmwk6O88cGRdvg
bZfNJahSwXmgIV3zJqnURU/S7VrPO8f4UWGepwvU3iL+aS6GN5VPH+qhOJvbcr/O+KY2Ihun2oKn
uXuVADnE9h1Y5dZM4yhRzLdUJLtmrY8qou+BoUHVXF5Uas1XBB+OSi9tP76bGBQrTaIl1GPbkkQ7
WkWPLeRXlNQKkuT0ZIi5hWApZOvDbq7nYwG6bgbemUemeKt5iSXv/SZULmtrdlNh9J62VTaP6i4I
cxwV6WQat7HsF7dlfMiqPpVN0R6MRfnUi3u90EMZIEk1wwVam3dzWT9z4307zdu6mB7ULCY5YnOD
6/lN1xRyUHgTu+SnKGV77gTwVwB26sKlc91tVSZHRYYu95PLAplmiNHcmG0ZNNQyjb5PaxBzygaU
hxRoWsbi6g0Qyrezd0MOityQdTHcopTGyfUYgaIw+0uP9W05rvN2GBYn68J2j9pgtrVxclY0ZheQ
PqVq3Jh41rBcrPIiqs9IYMdFhEkWCjCGr0aFzQA6Raj4LrKrkbr1u74LZyutcTZidx2N2F/oJQLm
65sLzN0JCuHLaHBw5VfFt1FFjk3an6A0PYoAfjaurNn2wjQymQLbjbbDm6hE9b5S7XrZmv5satpd
UYwBBIpm8jKem303QYU5OiB9OKwHYqO3BNSxAxnG6BrEmU9NN4Vs8tE73/mfDPEsC9EaslgpfxjB
2za1qe+98LepKlS2rOmSO7BFzMIO4oHP1tVQWUHQ0MqcRTrNfNFegl1zbYyTFXxPLEvDMkm0mkkO
Zkmz2gLvi9EagyRoN6Srz5kr9p0J6G5dQgNvHG9FD2lmWItc0cm84z1kpAFktjM7iyIzQBMl7X2X
d37mWCZ+PLll+FQgetRjOYDoYqrNkIRWMkvORSVuZje+i9x8M1c2K10VMlbgJmMYJLIevB0KcfKe
2Hg4RkO1D1zPoEXQDClx3jfrJsH8No7xpkMJy5kJUVbA7tOJXsbpdEGX8t61SI7JsLNo2SeK7voC
mLSjvSxAawxmvajH5LIQdIvgplhTP5jeHzsbbVA05hPoE9GwbHueZHptL8e1/qB0sqlMvK87crWk
cWZ5OLm1pDLpum0szG7gyf0YHpIqeTeGvjmKxhO7I6qLqnfOxtPOz8xJhqE8mK3JnR6jjZlt38OB
S9hcPWxGJnaJSp/SaBYdFPx9vO2Slcm6qcOhoBq7TTr20QPTCKQ5W85Zahv9pmM1vRnnxoIkDEYX
EBtL1J+SaNLXg6/7iziql90qQguycHtHoDaEy7+2d4JVs+zdsmQaoeY2Ee1wBSLyRx8lhzBFBcgo
SU7n6FM0phS0wGmheYprPx9CWxSb2for1hueJQuOPy0BRJJj5UcQOIsO9LeFx+emhUqBtwJUBlpK
Wk5c0iqE876O31I0JTdx3LgCdE32dqyjcdM44rKum9GVbpJOZAgOeeLWAKfEzH8oWzIcm6ZfQYqM
WS27si0yzVaUl9xfzmund0PnDqmoT3qKSRb5wkvDQ8hCAdXVOqfn9TQNm7mLzvjMr/yMSFZAeZSz
FBSIqoD8Xo7NUZcJkcAFElA/gF9Wrb3zDr8flqWT3ratpMyhzKZDdMR8uHDLfL1O/oysOholY948
otV/xMrPu6RIk2waIhCB1VCAupXUhb8X8WSyheku+tBVhCu5etA8p+CDXM1wH899f5xqEhJZcSjP
b1QSapA6VFdfglZFnhLoOmxd4oZq0wwkmaRLNQVFsa2GcFqJb3DuwjqanHPc3aG6uLTA3KMDhNZq
AjVGJCp3HaednHSx1FlZkOWnuiKPYxlTtRdsTi68UON24ZXOWaSKbRmBYJE3k6vcto4X52Tb9tU5
6Cep7OC3DDW+XvvZbk1RQN1l5964DfhyvTFTAO2048hcrsGN78uhGy7UmJRFPvDI5Q18cRW0csM/
uFGxTTt1/c3Sq+JQ1s0ZLYDM4Hi54NVUR4eJ4mnIgPyKmwn4xa2PSnu0qAtjJnytrttxhYvcJPkC
ulXO+6I9g8voZW+XLXHV1TotbMcjczeBoL1wHEkeUJGjWNebZllpNq39jldRm5k6mt9V1N4kYjRZ
NUMArKc5vR4G1WVuYuJ95CsMAlddkE8aY3IblCXrZsUhI0tzqVCRiYZtSD/EG9uk8MaB3w2mT2QE
1zFjVvfZYJdmL5BmEeibpnsDVKSTbAj8UM20uxFKV2/jdVzXW2FIOUk+lQfK4uV8rgfyTo/VkAkS
F1ukSLkRoHTtdCPanGI7ZxwVy1WTzHTXBjHviRhbv6dkxTsoTocG5MAJAnpC6lpi8Of9JPphU3jQ
SJdyOtN8md9DXyzNlzC+gV5iOFkfgQQRFwXoI63gtxD3Ly2bhyOncV9JAwQvs+0wky1Q7GbHDeh9
OD61tH8A09wvlbhoRrSF3tfBhn7XhGWXlI7lA5ub7TC2ZQx6umX7GrqbTxOt9FlRhm3DdA+qOo2X
gx1tsSvhXj5nzymQLUZTd1oQBFEdtaUM0BE7QY9okJUrAK5mMjmZp3DgnF4XberA8l2aDYz2V4at
O17U7lpTu5mDSvZsEhtTd/0BWiKxnElnTuMczsFD1kwko91EwwyStm0fIPur/RjPm7Ua+LY27YMv
ARwvOpoPaL5yqs8rnjx3BJgs5/GpTOlNiiIHpYs9It2czWieM1C8r1ouHodGhDxqRrmCNpNP1JcS
ujArtJaSfTM0ucUg/UYtXMConM9jbTvZzOLYRH0J3St/PnB+VbZRVgfX7skkhmyZlt1C6mmzlNDS
g14GZMPa7ktd9zIaQ3jLk+ItKVOUQdtulFbPt12hhw2mBvKu7nQCbQfgEAmU+9K5Ef00Awlr5TOj
xHMT9gaaMPGhqZN50w8kgK0Fra/GGXquLuAO2MDcyZbyK9sV+JyNEdlFE43fg1zpj4XrMqIVkz0S
3cYPwF8l9Cehjh06PUIzYBkyFixlB7CCloIMa+Y0288LD1k3hvjR2qqaSgm9o49147pdBJrBpdf4
uuvIctFqjt/Ec9TKYeFXvevUliqif0pndz4tapKrqHYzjsL1oIGplrR9O4jmztN6lbRoRtBMySUr
YpvpZJhli9djaUH/LWf7E0+926jYixoSHHOXZlynT7od+hwiy33TTOzYcA0BOZ7e67aAYiG09Zkq
wY+KeFj3FIry7WDXPiscUNa5hD6XQ3WTk8LwrcJjkGoqr9ZChAwEsQsTm+6j69VyjVDL8oT1G/xz
yV+YQ6DDroWYBywb2tDKb3UT3QXNrs1kwdz9thRjlpZrAvqv41kzJ/1N7UKmfbdx8eKVLIrK75Zo
5B+e/18KqJiFADb3TErKNT1U3dTUOYWsV2ddSso3GE/dm5XQ+S6dvO53Jejw49WUGtPK3usoX3xX
bIIGOj+uoBWmBJJ5nEOghz4pJEs0FxfJ3GzGSeyAX/f7gOtraF/KyrjLNAyXi202bdTfjAR61aCt
7GIDnS3LoKVinfhkW96P0mv/jszRlM0Ly0DGi092KaLtmtR91pg+ysa17Lau0UWGTK9lFdCmL2e1
K31U79MmZBBaHqbENbKN0blB5JSM5gjyziO0MsgGAuKmLhnZ8BTy9QzipExZP8loHoKsFnuFET6N
Dm6AmZo3nTZnGDqdiqMghZlbaanOUA99NFbai8Eje7UQcRLMtjekc51EGrhDwbrDNMxXXVo6+Vx6
DdCKGOTYLmOm+vhdvXqIkiU+LFOMKlnoJLcIPQwdekujgt5A5x0IFfHzPUtWJFltFzBMWwLK6l2h
EJXz6u9NVHEJDQpyqOtwG63CXIuyAqJPMN/MlBvpV11swX0O1AmT1ajst7gBSSAtqgF6r0ucg9iX
XDAI7llTVe9jA3RRTBpaRbQ5w2uhNiMFjj2P55D4kIQ7CV8w0EV6QumEtwh64VLU6Lp04qaIwOwD
+2RR4jLWiGu2pOWmHihwITOWGYmgRKf6QugV7ToOrfgunrNV+6sqiBNNjTrUwG1kJaAganAZjl1f
r5tmKpsj+K6GLzZ48YTr6EoBEx8DtRlN9AN26WlQjb1qDWgDE7vzkIKhpMAHC13oQ+fwMdHQXkpw
ycF57d2wol566N3c/B8+zmxJUpzL1k9EmwCJ4eZcMPgU85iReYNlRmYikACBkBB6+l6eVf33X31O
H7OysoqoiHAcR9Lea31r06x/FPCZ7mw7ZBCRt6mMN3NrA8OOrViWYoOWGZUm9+nNvC3Qu7m67AkO
SLorj1N516VeRnlqTbSfGtu+wN0ICrpCh0cRcmhUsrYH0gdP3cLOJrDDR85QKdt+suUexHi/Y1Mt
HE6m2rpiJfZlnRewFa2+l1Jnr5b1MMWFbytwGV2tJAlxNvgJn7B+d9q4k8lMcskFR0+l9/G0MMtK
PjanaOp+UD+6n9NGp2IbWX5xwv8gS5Rd8mkvJe+/zjOFDJSqr0O8PHqixnptk+CcDpusxcZ1NQj1
CurmV9MJXnjssfU4xN9ZJ8ZSZWtYOljjmm9pnfUOlp6eS6+6C9dzVESufZTd2JeZwMe0BsEhocl9
ujtbXpWHiNqXzJkH3KGusslwctactIHfw1lyE0d8L1kzi+OM7Rjq70NvmwkVtsofoJZ+I7tfCk+z
t92Ev+E3miKYpjOJ6CMPLT1FovuQ0AGP6H+DujPLDDcsGUvHouS4bfJxb3u4LtJnp3zgOKc6GKEx
mX8oDel6XUVQoNS/15Q+Qi6ey1GJBz2roegp7j8L2A+W9niJlPKzT3xbzko9CxtnJZAhWYWG3IyD
PQrJTcFRAV74Fo4/pRyj44pfsUn/YSIsznZLbycs1Tup3IvgELznDF270eo+chRX4jtX8Ui9zTN5
2/P0sR1c4bopxoVErmpYsJQxjV5D1j0YhQUdEPkE2/sbW1EL5ay/UbHbyy2e92Ix3U3oVhcXiZAL
FkzES+bCB6bEz5Zi5XQsqLiIFZ4elIjDTAAfdTEsDJu7Yl+ubU7GgnLfLEV93tS7x4myL/laUXyv
kM1+q3f1xmf54lPgEXMfvGorv0yUn3AXWUEY/mOXj06NHyh+z/mMDhe9B+TExYlqB8aBZyR31Ryb
oYSMBqNhDWo2qxe7LW9yh8wT6Pmp7yTKVLXc9HN7F5PtZHq7nBrZTwUn5rFpwps8yu6yXD+PvVTF
otk71cNaLgEfyp4MX0bCoLTKh97zt5TCvlKdPdBpP7tGfqeZe+t7ckxyQFldPHwki+zfwVImxWbJ
gePG3EKy15D0hqlIcGoX7drfOjPuRQiZEZ847c+E0c/Zqb7ka3+I1/GxMyle134wFKi6F2gxhp4U
rZjKaE6mMogoNDQoSo4dYZs/JC34B6OBz7QtYCj33S7TaQ8sKo9eTYdN5hZfQpydFHmxir/P3P/C
4qY3dJJ9BStI1m0z10JPDRSy7ElI+5Liyc1DeM1bGtpDZtdTaPqHxKGiDNjSFMwF6APhWKH+gp+P
xv7Al+4RjWGHjsjHqFiyx50OMyQmOR3gmNbDmoiPvI+2Yo7lVG3YgugOi1GufVLHyTDXe5DhcRr7
77LVt4D37BFt7kFFhFfDuPFqdPZxTuahkJrdQ0J43jL2Medg+SQVBVZXtY555ZPhIB30vanDL/Y5
JLooi1E6J/lpkiAuNros35hbPiXP2REdlseu6IKS+haSjIyjJqr4yNbLhq24imInUOqTxwytdxE3
DE1b0zzsTN7uxN7Cd7prZ8hT8WIGEFIue07Z/ra5baljab4OggiYVfGRJM0FTF9fEI+DcApR0Dcm
LciQ8XvubQ44L/memXDH0YGXHRrV1JnZnkLGomJNQV8xOa8leIWLyLd3MrWvk0bTms/DbULiruqI
eKU7bfBAjCc5JEtl+oaVcF8hi253LZnv1Zbdqya+IVMQV1x2ElCe/Vw1tgBu5AsfyVFSmHHeZiiY
ZnveqL/MQqOG4vCAbaNpISc9Vn4i7yvFqc6zCBV71K3lts+QyiNZ2a1LiyATQdUqdBTADGN0wW3h
oNCQXJ9cANYEFMhT5CdXSzhIdyQeX/Z5Yzgs2+zUhmgI4m70uFURq5vMYU3JMkvp9yxl6weZIZzR
acCGFj+2OafFrkfyrClOukJEXXDZXfPTLoAfotkPP9wQBnfpqmRpSF6HW3MDEi+GADruz2HjIWPn
5mZa8gS406RKp0l+wycZH0cVqHJbugfdE8hjDYPu2GGf2VPzqhtICVKaAByhCg/BEpQwWdVDg6e1
oF2SVLtOLUrODESf5oF6BymrX5Nm0o+7JM3jFoRTrZbRuNsmAUIRhsLEqLPMVrg1FfymJTgssXMe
Vwii6Mvtocs77D0o46b5B0sMLWO4ybcxz/PDMsW0gO/phyq1y3K7L/y5c8SX80C/yz7bT9ZnzQkl
H9p88jG65lMHU3KeGXvzM4BT0FhzEWbypxjaruQLBCeRbF+9APnhefIoHNmrMDLvwBq+dHliix4F
RPHXklGqq2GZ/RxaFdahmR9UgmKE0D46wZBvj2Hg0mrVDlLgHn2TbRhgteLtJ+t62rh7XoIuPhNY
6HUSR79yEfaljUJ02FzeBNZj/86AXRGQIkUazl9mLlD0pVNN2uxmjyN/UUH7RtHDH4Ac1rPwYw2n
EHRkiIrdRK4/zn8QF+hiugGA3KQxuojgbvRyO/jEogm1YGNkHp4Hjk9KpNgc476rDRQdUHqo55aE
ZJUhFNxgyn4Y3txTurUlBNm0AjPF7tdwVXeE5RtuzL4UmnHcs/CispnfB5DBqrhdoHDHuwWVKUYR
lSlbcDYAxitHMNOgNdT8MG/jWzKxDRuvlEFf4dqkOCx+1tBb23kqk6SDvxOuYTQcme2GsV40OOUi
XK5GUoK2fEC5w5KLZmlYtuEM6uuqYPNQo2MV6jRH6n70Q4/+NplqPy+A9yR8jzWJH2cFxwobztmO
6UFxFOCxbfwhH7M5L2zHhkOsUAOFUFRsiNY2RUNYmWCvo2G7wH78YoPkx6AMHtd0mks15W/RrPFY
5S8B1HPZvkF/eMjNIO93QLaV2fP5hD1eANGkJzeGBExWgDKW0+n6ZgRfisijDOzDBuJTEIHBnc9r
rqBmDF9Zkx8hhUNuYvJuZDQtZJeyIg3W8+BBqeWNA/C9HZcpf11i9CnCR1+Dzb7n23hnEzQVCdok
CBa7acod92sFDtV+abj9sJtHGwfp3Q0ZOYQ+f0tj/bLhuU2V2StI71Bv89qNWJ0c5WSrvw3cEthc
I62bLR2rlaLNptlezs30DlilXu143vvmzljy6eLoeXHhrYqbCBKDbqp8X9tSxvZ+BF+Up77aaFwb
tUwFm8SzHPRSixV0Ja74N2DZe9JzfZSNfRLbFpVjIkjlByfxkrKe8/jU+uymWQCnsR7VmRD2ezx4
7EY2rGIws80cw3BzEJ6UfYz5tyGeeQlt5hKMeZ0FssKVfYHf/NroX9uOhhc9Ew+Gki6fbb/i1Mqj
vQw6fppS+rFN/HlKZ5hubVzheL5pIZ7qSF/QUJ6MW76F3teT9rXyBhLSCtM1ezZzz4t0Xe9EQkB2
8gcHZQBPzRkty5Gp7lvqtSoiAB1n6dLTykJQmu7MQ3oeUs6POU9fvAP3pKPpZm328TADv0L36MFG
dP0v2bS/FRt+B7N/bBh9QD3+RXTyJlTtVcaO31siwZWmjQFFRlG1+wDkSCrC7TZLE8C7DMUejba3
ftifUH+tRcTDA5qNm3yQFZ2hcpJ0mpJDvyUZbgxU31IQ/xDRztyF6w55bbD26xwlaAiMmZ9Zq5oX
7FFwp8XWiXKn4UWoBc78Cry6i9VQ0T6AzO+ypRqD1MhaBmvyW8uofcvbpT0IP0Ogi9a1HA0ZtnND
xtKzKa6jfXyLOu/By4bA5GD3LgZcxEZSVcVDb6sRscQqEnw82kSR6tq9dxlvyqZJP5t2m1+mEQJp
YXjSlLFkGwSnMDW19axGbgBvt1dxmXB/XhcL4JuxtBtLICquTFsIMnJT9hhT8g1C6YLVyE8ZztYH
n8bYIhQJj6jpPrVM84csVh+ews0hTXe/cj0WOEY10LSsP5DV1C2n5LlrI1bFe3LrgRmAgqh3uD4r
TcFYq0W9dHPSAykfsPLoVhAB/DlWwc9IdVk1JgDTcw1MzTE13XMVJihF8iPQ6CNx3tZp5DmQWva5
oFm6ty19TRv+1KQo4hb/CRGT1eE0B7WnPMU7biH8XdufOG1/GmDsVaDT9rxzxAL69j3d6Vnm6kUr
dtmUKQWbrtskGb6PA7ploW8iR+RRYn8qwNJ3haKLr3KZf6I2QQBEdxCLSPazlUHzo/fYy/Mxmg9q
jjMIlnPQAaVLBl3s8QitL9NPVO64hHYdbzbBT5IEooJRdYvww1y04KGDCYRt3yTixFckTCY0g6Xp
s48gCN58oh7Inm6li+DyDcbBfExYySYX4maldephwNI+14XaxFKxCB2Gz59QJVRwVkzR8fhlkDmI
aWerNhi/tKP+nMWAcm2CNZjeDp4WTcv6MhRYs3R9NJOJ6lSmwUFLU0uPUx3CuynaPlmKjMHqRB16
0yukPOJ2T8soG3Ck0+Xig63mfjyEa+PqNYLlq3zuD3o25z2Lhxqf+6Xf5/m8TBDI+ya4X2x/CWj8
ZRgBiuogJ4dOt48+NvYu2PuvS7e+TVu6n1edNdAj+rbkhu2FYutzKsZDLvlUSs1daUaBlULoYVEi
rRnUEnh+FEdqA97A2PmGhObD9x6PGv7MVDR4e1UWyqXc6OCLsenTm34NDsqMSQFstXlBNNVcczYf
gGlMiZr7sZfhYRNJA6qHup/EBF92bXDFhgEhhc1S7E2cojfs+BF3Y+mLLOs/HCW/+BKvL9SOCDKM
GpuyiDwsedAhu0NtP+L+EjXcsB5oczwEebkL/9jxNn6OkAFYC6EZThvY1+UCZr90S5cXa6veQZ7f
Mn+tQjTq7il718NiYJOhXRW5gIs+42ScoWDAc9pNBbnzLCceAfaaL0ngk/PeoVIxRrymW/QkhmSo
ulxGR7MS0CybgFACtujKu5tRornXvFkg/CoCli0IaXQEjRnZguM9tTf47H1+6FQKojkLF50+xHxG
kGXb27Yptjnc9xtL0xbqKkKm7Ebyq9pFjDBVDOJ9L4UYlughkoSJuz2Z8FKjd0jNBC21pZoN6V5d
BIGydgLpkwvc/jytQzauZWdJHmPRxPDIBeJQvEI5tH9Po3Sf6nUKVVKHCbqmmm22x9OwJ6b2WTuJ
ByuC4Zc1qG2CWWH7nlf80duOpbuuU4biDkEbgQWpc5QZaKP6/lfSuX58Hx1WeTGggifVGnbG/Bqk
xqEfggg77SH1y5cFcquEIfgOcRR3vzXr9d/tCvpxjHexQ39mqJvGOQzikxvyYCqh/f2kJo7g4vSo
zCcN+7ex0zDcOp7Z5QJjCB9M2O7513YZcV0usR5/FKz7jzlc+/1zi6zNPh3gk3e+NaSrKVYCLgsZ
65NvUaQ+2y2caBX5QdzFoU33MuzldHSIWux3xOSSVhnK9fGYbG081yCCYwA57QxkI0O/JMpwkYK8
sNCux6hJzXKwhmf9Caenw333ZGsOYkn29DHPaJ7fCE8y8xVVXzeVGpDlVDYSW2ex5dkWfPS6U6RA
bAi9KxdrQiA2cIhwgfZTjOoZnnDVgbCvKbgxAWJDNajOltgf210C6W/0Fr7StMm7GgGP0B+tHIN1
Lqw23Z1K0oCfc7NpsEOIAQ4/oclwd+TQZkAZ9YlBics3o2KosWK0zQXWuuhLJ7d5eWDITQ0vOkgS
FFfwi93TNMCZvmgK6r6SM43opaVNF91tKXJy0EZgeDSqhzAiljggZbATx2oXbvYTKta4oeTKFLnj
NkVVT4jooVsTEZHnMNnZx9ou217HswGxEGsYwE/REsgRMF2/HbI2WWCIch0Cp5jDqDJXMvlCjOYL
eBi5N2jxjJpMkVEbpch5oNeIHkIQ7fY5kT6hJ912+GRgF4M4NSqb0tsU7dzZA4ldStzKCK2/U7ut
AhBwGTwu2QcP3Yja/VZEaYK/taT7zURGH51ZkEzpvU8kDhFs6yCU83Cy20l4DXyUWA1xNeCgAYpu
arB9ACPkL1R4yDBEJOptXFrOYJlJP93NRGU3Pfien8GuDM5N1k4nGAvbLYj9uz6CAVngFAR1YgO7
Pg1q0Lyc3KjgJ7J9ffPBRFEuCABtkPoCAP2t9ohiQLu+WDVYBOOatj8MepSwQa+2ZeY6HIoSynPh
+ApvFnzEiIKItX1n8SyGww8QI+GPrsfBUsT2D46J2iqoaLwy+q6YJcsBnVqu7iLRdw5hGysXoPq4
O48DtrKrDKl+x6P243HsAFuXG3FA1Xrg4vE500n0JWBIMhSdT5Hx4JsDqNPqzPRnUKVo4PtokCD7
+tWyk8o6JBtMErhnlvBX0TnAuS7agn0romaL1GVMhu13i9cV9yNkE8htXKJvWehkG7TFsKuQzqSv
GnrHDFJLsLWO1B54hCO6BcoFo/wzdXOWFGOPk8WMYfZ9EFI9OpvrR0YDqDo86uHKQcOCxuTa/S3t
HZZyrsUaPbgel1PC6JJn1m9ZUvU9XT+nKAL4vTgjozsL1O9E5YCgjscADgTg2LBeUDYIODKaYPMk
rhUXwxexoWSLAXCheA50CVgd/ivtItxfACTYOkNwVcg5/EHPkw5E/D6E4BT02MD7WK5k+d44U0GU
mu+RbcYWCWvlbV01Ui9xpJNaT7OYT92OMWxlrlwH1jZbg1eG0FBb9XEcn5p44LcrRN/HiSACRdEm
pGUICGE+rOkQvkZ7biwulnSIqQTyrJttfzF8Ch8haUAwVzPUynIh41BlslPteQpjLE0LFZBCqYLM
dkzMiJ1tHlr7ADBr+gBsiy0EypIWUC2o3k8x8Xyt/NZif0Qf1ahyGPb4F9InMa/iBTnBtROhrfpm
D3JIFMC5TQc7D7rPuBwUSabbpfPZWuT5Pp2HMLEfic3AkocsxDm0OIjL0zThwJ0yfE5uSrZvSzL1
Q5nQIZvQjTC2FUjl6Tu+J+QHOCdU/yqYoGFQ3j6Ar8GvUewSSLs4MgHGRH3Mi7mx5PcA7rjMO0TL
y2YLkdTN+i6jReuhadbYXtxy6EbEx4odscr+mv+zSa1GVCMXkg0BEBKshkJwHXyXvrdfde+A8mab
e0TUOcsqVPryHZah3Ost1KA9SQBcFD5vS++FSbCHh8TRplJ6yn4TrdZ7myMyhgJYgYnSODjjcF9H
JBuG7KudnHoFAmXuuhTZ5WXGg1AiJoBnaYgkwqpdq5MXPSYAPgEAIsZH9+x74zv6AcIOPztGqCAe
M/RbvMJ0DAHnpQn4c76oCTCCTuVrw/UtXaVea/TiqNb16l7HdecfuZ6hdpF0oCBNBJfjd02i8ckF
hPxgEtSBtGb40SXhDNmOIbYdiBDt1OoV1B9phme4J6DtSKDiCmQTmQqhqD1rsyS/O6VQSO0EVQkS
yNEBKpx8B5rKkUNivMUn44HmDMSSuNpCx16MnHVworBa7qHC2Dra1Ix3FPPtGf3u6ypZhM2KbgCZ
V7b3r/vSjL+Mld9NCrU3gRLna2+fUfa3jxFOo6cMvqG46dMFcLjrcsS4eY4g7pIs5QxnFITJNamb
zvxx5pO5jacpr4RM+xQgVbDe+04a4OY85J9dmzfgRqie3jrZocH0YHtKWH0CAWCLhC0J/fIETCL7
ibfdPtG4AWC0tlNwy5Qmb4tJu88JxEmAWJ3Js4OFLQybD6o0rZDvNecug2yOaiDoDryFtguckODR
7iXFkRbF10yuXPZkAMXil/sebcVSe3DQ7ighb2BB/QlN+MxYc4zjPYeEOYSPUeLxXKLaw3Mfun1M
AIgOfRlnEpbDrvM2ugTryH7DoA8ewlb2EPWJhfz95/dsl8O8RdxorkBT+BvQXfk3063hJ/GIpFWQ
59Qz5yZfEJCPF4goYI7OIiDYMzo3YIeRY4zHuAEleoybGLiNTgH0637G4TPhhAZzxPBj5LqeZDtO
4DGjnZ0jAnd/0xbiIXhHcFczmpm2cSi4uW4N/jq0AlDvU8iAovS9+LEAqqlY2LMbMifYdS2V+V5w
CGOXcQ4yVK0gtj7dbmN9WA2TYzkgM/AL7UVzNyF5XKWd2w+kTUXVY4RDibIBVmDqITkWjogM0ZjA
XRtx1MwzdNKxPw55ZHWhEc4da+Qy5Y9tRPdewVdAuGdvdHoIJ2TR6xyi92+AylFSxG2YvG9YyNjK
QjlvxzFMqSrRKHD3oqM0goUXjwt40hkZkXwjNvq5/rlZ6+q5f4eaIt+xgBlgRLQibZHK1UF8bZCM
Gn1ocHaifk6WbERIUeKOrCHELfxn1tyBFQ8qsmVdOea5e1xIt/d9AS4aKQRcG8YMiGFCuGvo2zF/
S7K2PSJlTl+iCcapM4698yRGcTmg6iJFj47ug4ZuRLCRZiCXkpU/ce38PQir6GnzSbtUZB2vxDrS
o91TAk62KSgjM63zoEWJtOycP6UmD+NLvA7+YOZFfUh4Ru88TxEr6Ja3ZQKlvGSz+Bn6ucVpDIoa
Cm9yBw8AFXtHwKwiurVE+O0EUd0ZeXp5GDFTAVoZsXhcxl1i/fgGvV0xTXAEi8lP5jkc9uWiFtrd
w+X8DDH5w5SkDfOsbi2mbrxPkdiTGqENfKByEDhHxLJG9ERyHiz1X6f/1hmw1ohkYml1ANwrRXf3
6A3nqsyaBU+4hc5ib2iLp7TIHUNHmf4Jn+XXo+Zu1IGODwOelKXAxAHIzH/+AJRwrIgJ6VwgB/2k
3WMytyi54vzauSWG4ZDaognfoc5h4QuR47lEcD4kpUsmHqwluCzyQ1yfFVD2iDgyQvbDmvg+ukvS
nIq7dc9cc/AhZTfMrHmCqIzFDRLNjD+C2CcOqG3dnTjFi5zzGhNEGLAMb9AZR+tmxUlxh5//axeA
KdMklwyTBFo0SGJ2JRhWgbznnw0MMYN0Z1CibJeVzbqBmDOcNpBIZIfcHgciCyBmmvCSScqE37Do
YOGYMhvNRMkJDCd4evAKwQoIbYOyJi6eCfQSFngdQSwwGXZaIv0Ldb/M/hSEGpsPeRtWL9QNJIJ4
eASflvflakAklsjHRuLQspTmp5wn63IMkysPuWGhHn0zYvPaPdYFSGcp3oOhm3UJ7TeBmQu6B081
OM1f+YLztHBgOTAhxK5JWpoVhVSxz40n5cjRV5Vd0uGT3ImS463aXdifjMRrF0sgRl4FwbR8wTOU
QNicHGtrJ52BMtUsoFDiBFJSGdG8fVn10qCYWdf2orqxQzQi0QQ5604gzTFH0S5hGYGLLrwfWXDk
YYcsegEwMFrfGDqQrEZZhCSfmROQUmlwLd/71Mr3vz7DBUK8PkjdCnOyoyCsmPHTU4l+Nf+ES2nj
I5QgeMIk1hhp0zFpsKtka1YSTgggFuMQDJK8Ydmhj3NWbQT59Sf0C016TFxHEE7YhuEzTiByYs/f
96GM/A7JlW0reW3Hhc4vDnROc0Fnj8ePLg4+DKAo8a7jHI98B+VlrIZUNKCG+i16AGfRSPSJHIM5
IC5KDYdQIMefGzfmJ+3C+Buq/OxDzE3dZwEYqg7xmivNG7Ttc6Dw7G3t+N52kcMRIu/tRhH0iNH2
QIoo8n1on9seLjaSZitopfV3tORfER/EjsgYDuvDStyXP7G9vwdHPf4V6/1rBtLnpPalayEp/RkA
9a8v/8/rNOCfPzOj//ub17He//3V3X/NA////tTx13Qd2qj/5w9dr+Zffwuv/vfVXYdH/eOL/2uO
1f8yqeqv8eL/y//8xxirfwxQ+/cxVnmUYGwuEqv/Gtp0vZp/jLIqulV2+v/5S38Ps4r/I8yRj04B
RkHeIhSpzL+GWWGmIs2vOzDNYSJkEUEe8+9hVhh3TeJrVBPGfxpHNEIYFwD6n2FW6X/gFzB+HIOu
QpYgo/xfb/EfnyMmd/399b/PsorJNdX77zFuzNxEn5FiUCBeLyHR/5hmRfNuHPq1CSu49P2dXNax
DFyPeQqAS2uoVaBqcYBPn3GTgEzLBN27Q6znXuBABMCPwFI8IVs1jgirJBOSB9RM3t1qFWMTyeUx
hWp+zJhrsUSswigbi0kTw5pfGobTjiFIdd6FulcDTFs6e6RTdDeedUhzYHDU1s0f38nRsdxmgTPI
GHWUUtqntNO8MiH/wRsfP2WevEZxzNGDgTZYrw3Epn5LBmgBCRvE9HcP2YyClU0y+hobB7gGPNEx
8hmtxAxTaKUomZNlQxPSE+yd+Z+UnNN38zI9g/o4C+zXtUqCN3TaMBPm+Ye/TkDa+um3n2fxlBt4
hZhGEhZKAWyYYHCe7N79RONBj44nFKolTuoshtdm+eThEiIyYxZmboYA+zHE8uew7959ZJCC4E1U
2Hj7mW7GV4zZ/gF62XIKOompRthhEA61yHWGKzDNEDbGlK6fCmg3rHEMkcDc/fcV87YwV6gd6sSC
w8CW8dKnILdoNP6gEzbhgDUOo2DAj8Tb2J1gCrKKhv6+2wW77xhShKiGYOTjSEcBjWvNt+0BfEhb
Tta9G9zjoO/7c+OCr5xkHJ1x9xUfiKpFK74qCX0LePX7NElytW7Py9hgBApyLecerdwpBRIGxy28
hhwTKA6BFt8mtwOzQjQI+hgkCBS1IbZt5FjK0M7zCZG34QjBN/g27/F0E6YjEFJkiY/o2pCaXPvw
mbKsR8Ao+MkRILqFJxCXsmk2bN54CIADbggHAGUg0YZJIRZmFen37H6zAGjJeGWoRtr8kHGP2jWz
rlxwzqBNHhCmBOaDYWKy/UK46gvnMJZqgcJ72peUHdxm31oDKamJkHIlDg47arPbLszeQ5nlhwhr
/GjaAIYZPEs0l+mePYAgcgVBHOUA4WDDLCi46tuMbiUIpAaaDU5pyUhXydzsdScxCCwaY0wEaMfg
CGh+KY1uvwUTbCSJfCrAjxmEQYM8mHCA5Mz1tLIDvreSuD2qfLsf5vw+6Hyl+0h9ZcDxQa8uWSU6
nyAZprtTbxDWDfFGb3LUro+KqrDa4/zbxlv3n+ydR5Lk1pqlV4Q0aDEsd8C1h9YTWGQIaHGhLoAN
9DJ6Db2GroX1h2RmMZlV5DNWm7X1gPaMHARfhId7ABe/OOc7K3q3LKCajdd5Jj/AoKkrzJdv9pja
foN3fZOGdXtC4oqymC406McOnXRoYl3EpU+VzxvQsloJlAIvhqzsQBeDu6fDmv1uEqfeYhy0tVRF
jYKUcUIQmWkZoBavLGTBSRCz/yvBbBT5XZIbWNSkmmAkzSqjq/weJsy8m7BmF1cyylpWJ6nebRF6
QkpjFDA4Z3694TNsKbAXuZbRY3wutQcJ1I3S0ktaHQtfSIuHrms4Wc0cLU5TrbisFBk9hOmAQyUJ
6+gc9qMXb5KRs/FSn5HSnScNUN7KTtX4QyptdfTSJEx3MStmAe8pTj6iWUN/oMg65C5pGB4zUI+6
N4tzd9pOXe6x+2P4fWrw2zaIiJnsqnXE9V8YSgfwRU0vx66hKXGbkJFboVkoZipjKMy12XdmMIxm
hoQutcEssahnfzc2JXvNFi2YODuqEy/WQOdkJ16n/YZL+Kc2uPuvgkR+51UuE75v/Mk/rw3+9/8A
OFT8sTb4/k2/1QaG9QVWpWNB2wBnpWsukJXfagPD+AIUw1QBQlhMwJ2lCPkButS+AOmgKVrSMDzX
1fmmH7WB98XT+R/PdJXigTyAv1McaPYCUvlDcaCjIIXJQd1iUGxYv7A5QlWTZqk6qU+/b4mgjjE+
QeSrbGeFkxyXAF29Q11tag/Y3TEpj16HbdRrZIPpqBYmW1VUJ+OOnx/heG7wCUqsYArqWWgDXeXC
avSilCWtqSoiw2tq1ECzzMR5lomS84ycRLlg78b0TTAXeVQxyGN60Yr6vWB90+7VcLI/nMgtARYB
+at8FMBR7Vswa7YDk6t5g1qnRghSSV/Np5QJQVwj7JJmEvoOYu+Llp3j1vES6YNFlJ+T00aXAhfi
ZQafCzQjYsmgBITIDmqwNtzU6im1CgvzQmPhJEmLLECM24tj5Nnt5NM2Wi9trs7T2uhFcs3fSmOp
SlGBzi5dJkUFPEf1Mh/Mwc8svaixtsZzfdNG6BtkhlzCR9Sl3dejpe5pAHMWGTooEhbbeb4TLga5
CZ+P7UedK8N1EkGgU9jiXRtiTpgE6CVyu37SF+eVeae6rnsRzY2EzKjhDFrlDe0edtZnGnxUZW0P
/U/k7qCg0dTkRgIneZdMQJlupzIyVyja9fHAZMF4nmbF/XQzLbqvUg9wYcY+mEqRRVfJbiTfxbw7
kxUK23IuKuUY6rN3a6dYXlcS/+Qj6s/xTnBdi5M7TvV71Q/VPaZNLBLpqB31tuteI63H+O8sxvR5
ti0rAGbUuyvTSPqjOU/hq4uiFaO+Knv0JTa/ZoUcddzoWY5ix7Fjsz6MPJKgNnpmvWjyjxBDqo+2
NNynoW11Y9V4XmVt4jCbMUCJ1l7m7KX3kMI4+tpZNl5MbbKz6xkHFgo1RHz8bESpZQIC0dfmLjtl
rHecbWZl1XXicTGgsGR5uwJMGWIMHL1E2zYMDh7aXEmeDDMyP41IbrrGce+02kLQ6iYh0xCPr/EE
2AFbM8OT5gisQjGWZAp1wB/I7W7+aeP+PPPpD0e1Dgr9r9q4IH+d//1//fv//OWw/u3bvjdy6heD
Y5oj2WBo+q3z+nFYu18MsMT8WfDofz+Rf2/kGMvxVUuDe7P0a78f1u4X/dvp7pIzZcMbMv7OYU3P
9uthjYPf4+foNjsqZvsLsOsnINdULqYuTel83eywDSQ9HixWm3JeJaxDv6YeJ9mWnXLBgCVDxLCe
ihnNaIIhwXcsV/tqUsRVW7uKYhvGTV87u9pRavOiLQVrQG1oZHS0DLe/QKrjuQdzcuDepPUN6xdD
2WaRhcrPZbrucNAuZ7ee6CkUjihRwlM0qUa46Q1Df4RaDMopxwjAE0W20TkyLDsoTOiBq15qGfAC
WCMYBdswu+8Vt7gM44IjGfhWuDHpNN2tCQ2Zex1xC3AaQ7QHszW6T6Y2jQbEYdSvMjnAPWgi1csQ
0UXxgUVQsZGFqjyPdTtaC1d32GGBxI/lTsODVoSZ3yAkQWJ30mJZXyDcZXqOCtV3XJnsnNYtMcVp
mIHGBTZZRfOnmUUePUA8PLoIClB9mTkQiUQR1TWrITiOiNGwf9P4sVqadjw+umBgiuRzo5cHs7BZ
ni4iPLbS9m6oMp2FajpfIKGbqdlr4wCGZjiOcWoGfaeEV5HFIQ24BL0Kpj3YCVCRO/NKKYANmrnz
WNn1tIqa/MmpRY/ubejW5uIh9mb9pYIIC7k3lYGiZYAEW327fO+cq3e9YmXXhtEoWzUf7G2XYsB1
Cvtd6637Qhu9tWhMELBekh1R8D3j1AY7EdELJ41yORmFDAqngMccuqe6iDHOj829GynX7jDgM1a8
aVf09cFIpysDMuEhNSAPIHdFWO4Eddtes8m+gg/5PNhJBkVXMr41Jnc1TaO9iqeMVtxULBR8xa5x
qjsDd7UxVt7GKaAxKgpK80xHaDFOfYmXEKXXDKtxL6AG8pYEUmj1k6Y5umJK2G9ML04C0em3Q9Pe
Jm36EFZwImsVK6vLY79sWEeYc3UqLfUqLsqX5fMp0KTi8qIUALqLfrGsnBXrzmztGfkR9/a7zNko
8LwNh/Rs6eKGuS8D0MLb9sIttp6i+oOSiPPyeVJ+z2tasQF/TFusXX4qxGeFv5GabBp9sg9wi9KV
7gpm6fC2Q1ngTBnMN8YR3mbO1CeGLtW6B6xxXL7coMQZasAfipLht+6bIajZGnRs+fc47d11YVWn
IRKPi47Hr3JTw8nJjhZRFbilvhtOpsZmPUGa4YtaecoUue1nrIB91pwyV7uYgTP51DLpqjPr+7x0
Tojcqg1iFGOfSS6OakLFEybWUU+TaisBFvl5pEaYofNhnbbto+qaSpA7TrluMUn4UgwdkEYcdFoi
XzEDAAKrnHMf4pOfJltfZWXxHgpxheACX51Ni7O8SaMHgmRXAIRVTpeWlgcz87blIl+hwij5jEqs
eIW6n7TsqQTwIVTaUs9p3wEg6rAxu5sG+RJeI+O+jIugjaaHlLZoTZuO6R8d8VamYHzh3LzjEbfX
AzQaJjTi3nVUiE2OfDBiGve5QugG7UlsnVzBFgvd7+Cxal8V2nKuiua5LppH9I+UT1n6WUduvxIt
25cB5fAmg+h3BeWcNw/W5sict8AKytggLsR4xRBoaZhH6UIhLXTfgf1zFat4qXtPTT9Cw0CMUfeo
cKDlGGdvsof7bAABgXkk7jdGOJsnnA5loBpTj8mnRoEAu5TpjYUdZ1U0qnnVTJAH0axHAVqd9lR5
pbHXdTGiewhfUtN97Nr6UXfLz7kKmba5yL2dLgzHlSFY4uWdnayLgb19xc/dMCIbrwuYLlvR67dF
77BoZXW1B0avbcZyLLeaZbyBh5EBQCFrXxUW46IqQY/ruew+DKxQZkoJCa2ue06GuvINpD236DIk
25AQkRESlBXygXyRxdkQg7pZv09bx2Op32e3NY+bixDD5GHQdFQN9RBxA1UHkK79oRVDuwX81G8j
FpXsroHOGqy/WJ/kdOCFabfXatle2CMyw9yg8x8nhb3pUDWXgBIY1cVG6dxF1igTH92G82lPGVxr
N4RmYyDsWHl2yqtGMpXPRqkkty1I4WvPUXfRMGGXgDnXbXHpMAsyxwxtD4csDBcNQLYSWbkvqgXb
w27trsI4uJVc168ekIPhN+jePx36v+zQCRDQGKr/eYf+bz9nES7xDkz8f/ue7w26/cV0kDqpfNVw
+RehEt8b9CWjQjU5LF3DM8gKpRz7UfMRzGOynnMNnevb+DbX/9Gg21+okHBL6QbMVE8ztb9T87Eq
+LXmow51PLCvBj8MFOpSE/5U88miDkNkfSCpJzSlK+zYPa5kfQjcSM/8eJmSQawWfhoJIgeAtRe4
EV/5EgDNcC7NY8TRfUhSqzvTGtfsQVESdWqRbzO0PdxQs3lGysq5whrkoFlNs5my0dsIRGjHitUq
/c9yULDGB4RduNNHIWxvHc5yAQ6JeGsakbOPnbA4hM5MO1aU/UWDhsY3JOKVri/a7TTVoFMECnyg
tkRO9PUpkZk82yIxIfA1/YGnBSbNWBa+xbDOH8YyxgPnYJeYzCo5hNiq144jLiyoUmuKmHGVquZ4
mstsvktrXJlZzv6W7hPMBRvdTeh0LqDCCO/y4kWwCv2rNy6LQ0gbu7gFy9Tjg2kC1VH0F90u2+QF
apMDm8QubOdeslhe99o47LtsqL6WOj+drg9X2IZl6sQk34ARvNeNMJUn5ArhbYImOd4rkTc42y7P
KKlt5ARrHW8drsfRGbydGafatBdho79M8aLtk1rvXReu1V1OXYWDVuYpQ9S+bWeklMY3RXvZD0dL
lK1fpaxhYbY4FMTIRsd74jhc7Nlc0DtASF1/b8MpE3CXR9w/Vd2WLtaDKdLWlKdURSJNkc5WPKPQ
/CCOBFsNVz/rlDTZZA7MvFWBfNJCnyGV0Ad7oAKuMNrBWJdYmndImOW9MFIGlEkqSpRsQEnGTdaH
0yIVU/ST5c1Wfh8BmDdX6I3zmyHUGn1VR/VSssJJfsqymOtIljEpGqYnrSthcxReRpNeNT7c0gav
gijTA9UqdKxWFJ67jjItByQOsynz8e/jEKxqAMqr0iRjwK9pCXmqS70JfTTiM6cuKMWvaaTqMAPs
gecOSPr2tcY+9a7Uff5chnr1wsTF6RHUt3CKvDa/ifS0mYKoHFu2M5BfN3NTz1djBKfgSusythy2
lRQXTuPpbyqu6U/+YUBRhV25xcjInhYl8ak3zL1dK4sBNC2p2c163JVSuZeuRNQXVtFzQbt0jpRZ
O9Y97hq2Xw3UhDE2uN5FdplkERwmtMo2eQ0dvEMb5zgE4hg5sIKkA0kAUP3B0jFam3bsVC+4adXm
E96pcWXLhnsHcvk/s9/fpgb/8slCMIzDYfznT5Ydi+Lpj9OE79/zH08Woo0cXcVSyPEN4uI/nizW
F4d5rwbvy9Qs1fB+H/0apCTqkIKZ7S6z4W//6ceT5f8q4+jPeMSms2zANXuBNv/8XPlv8YjZWP+n
x9fCAvZUQ1URyTvLZ/Dzy/zOAh5Ucx/pogHTXh96+IToAF8GFyzQchPD6zhKe/zaeDWxGhN7T4Rp
dCXX3YiGuLaC1JyfCxPeqowAyF6502vHCDikAQALL01135Mnnvebyllj5E7SF8T+/tDr7wjPQZq0
vmtCpSrRSa2/4YVhbaJuKS7RvGyavDqlMdtt1CPkibi3Rdy/G+UrI+A7l2G34mTboiDloX/QDLnG
+SJhjtTiOpwaFmyGMx86ZPB+H1nXtBDwgum/bMPeqs24Dq1kn7YlysS7kDCRKBt23yjFUAL8XGUX
1cE8w9Qde4Ad5NEG6IgWvlDXRqxvHdDBkAzTU1XGa2/SNkhT/HxQz0arIBS9pTFDfpv2sBG+M40r
XGIT0S8L19hgIO64l32U3MVZi8H2Q/fMx2G4bdN170j0S3BQkmUNH0dkMCTT2wD4drJG9TAl9qqB
ffQb8DgS80kP3Vuv3Rvl2UybTeoYd5VXbFIr0F/7LAyi4o0ZbGDVWuJ33VkpzjgcgACYXzONXW9W
noucRaXatG9ugdunsf1CKg9dZ/ldPmyMBsdaubbQwEiBJZwPEL4NCA9CTRwPoCSWZ6hjG4H5nC7h
rpyr2wgja8E0q/jaYqQUxpnx1Hbx+zFHWpGFRYJIkIynlHVakh/yEZxjnm4qc9xHQ3/psetFeDT4
U2htycFgdDHioCLLwPZr783Ikm1ow4GdwNj04Az7p2oBSXhqfUaNBo8BXswcbwZYYhGfB1SGGvIy
z6a1WeC2cR8RaoBCQ7UNgDnJv6Ib8qGj7cCbMm6xT7GVfYU7ek6t6SL28J2We/SIPHkXnfzZGKiV
qiyYHSxyk/eQVaEfJv1jlk4rOJT7uX9ySyYaHhM1TX/kSl7pIHzxNG31Eg8u+4PHhFwhq6xgL5ir
Lr9MpvtOZwzBH9+FgeCg8J2Uj5qAgwzcfY1+vSNLZNSDKJvhSsS+Lt1tn159Izw3I3fh/KEMuPNR
IIgq0OPbvI52RfrmyQ8lOxd6uxHxQxHt1Jx2KLqN3X49a8lazE8AipXBeXNmDGMQiljb+kg2cWEH
kLv2WWMdpsofo2SzoKHntqpQGj93ygH93d6c/bnFZ830REtfhiEPHBlj5l+1ZP9ENXgD5WBlp04y
21Hap6Hm5okR8IqziY4OwFDwjR6duY266kMgluF9E6HiXgDSgFlYJ5BDZPsshl/CHpWuWgahxTrF
OCqNsU3DB1ZHC1FazCznXdJ9HGfHzHeNK5aZw8s0Tvuod0c+T+9YahXLl/pYwMwptdcKS45ttYdi
hjGBaxUnIfpALxB1cu9JKCYfwA5kxLDHTf0f3OnMuDPmRmd+5hdeeManxGAG0YifsOY+lDg6g4Ta
4sDETN9pZbyZ+MVCM71POh2gN8jmLo1Zfhlf1cLcVQNcsqgdPwdcSF1XrIfsKrGHY+HNFxRBrMUj
YpJq/VMJyZNgmU1G3DeSdeHcWR13ojFc/w60HqZsiyhUP4UC37+tfQNbE8B1YavXRQ4SJh7Sz298
a2+qo+eYXAHWOvrnFOOQarXS50hohoMycYPUzknIgyAhKUtAWlpgXkfr2EX6Jtexr+n1iwdnfGFg
d00QJVZQLedBCu685HGRi+ncqsWRmpLQDad8cXI6fPezE3mQMr+Zk5fOfWCpuEeMs1UZUM4m5dEF
+nokq8ggnV0ev+aIZrBbbHL1yC3pbU36AFw2AvnjrJ3EC8blYzrNuxZqZBHHGO/mifs7zF5mb7Gu
UrYizZBRftRL0zxZMbvPHB1lJonL0gZ1yxMeQJDiKIzNzGafYuUxmPrOU3wY9Fd7ajAiRUhccKVr
p9GDhR2n8b0xj37nJAHj/h1o9IOwX8l73Y2PQBgCnmPYEVMo0dJiXJNr8LwqJWhsOayHFl9WEcp7
I6o4RAFxa6K4r6m+1wM6j5HpZOqdcgc2N38FbdwYhgOYH4EYh32zd5p6mxVAT/Ku8GFzbOMabkUP
Tqa28ayb863BozRaLAB5f5PIaKMN021sePhvxU63OI8UsXEGZv+ZKS+ID7lMcSZM44pC9hSCT6rN
XY1xqL+JHFQRvbXubkOd6b+L1iw5txMQIw2guCxot1JdHOhBX2tJItjgHOtSXNf5qR2NU5vvkN+f
E1adrXgP23i7QL9j1W87EWgof+14H7bGTpKtRcWANFYkyZrqueGXYabeNx6WNbGregTouKwDA3I1
3i5FObRJfw9G7am3pw0FybqgD14l3mAtTPaKxWJ9nuv8Kzg+igz9jOeJcfi0nUvQhYxNAflX7CjT
1AK3OHE3ObsMoMJ6hE++0kzfyIJ2KHce6YbpoFzmFZtITd/wTgjZyZH42HHHXIxXK47x9GANqJFB
KjmztVNfhfQNlUphFuvKhfQsl6qCUMPsZWyTQz/1qISmqwlC+rAoUklA0s55cWk2N9p4i8PvSIQR
A2ktmBhYLdByD5GdlinXMgzG7kC42IBdVgU1ReJKhw63gIrM1QD9aLbfXaRMFpGTVcgCQ2UZ4iks
eel9oPi30V7tUUvNPiaFwJAM8LPm1U2iw2jMh4T/1JkfgoG0Y42fqlqsLHR8hRf8YKFnGVvg/NoY
3uOB3VOko3lHT5zdD85uCO87pgk6Wp+KYWTsrdQpWFDpgCz1eZehvMMc0QLadnNvr+TXGm5vohFa
OTyFNxoHxmidLC5SOtX83XibXLH7QVOPXeacEOlsHHXJzOh6frHMZoUyk/GtdYqZIQ6X1sD4nFRE
yVq3Qv7kPovyYWzqVQ/GG6M1Js94PSzV4M7DQWO5EZbFS8EXdRvkaLfGtxmU4Qc86nVeX0/qWe9v
MvcI+ii95OYPu5u6v5baFk0aQwceXTnK7XJFHga7INir+yE5WcpLZbwAMSlxf4r8wiHyStwZFHrV
U0o61X0/PrmSzxTg0M7w2NGrLx2GmImhZzzaAAlwiX+kMTA6nGl2s8m6jRgtIlnCwPDIl2IdYfbA
11/NbLPoDg3trdKuUSqM1dNSqJUY3JPnMHnjBmbqymC6SbZxFOOiICg0MvnLI988YNQlz41XYwlP
cB6fWDprxjks4pSPENeFs1Y7Qzpw9Q1QKfMyfzGcwjN9JUaoJqQ3ruu0tXdW0gLl9/Kb3gDN56Td
Z9XITVNKFdh1s9GkE5awDZz6qyscDmuWRSuAWjYGCjMpTfCeVIGRDh/MElN0lcb4mFaFxPxlRtTU
oumRjtfdsMXemfuZZNuI4ZCrgB/bAzFthpxSq7UOGJKjVUwOIkVodYg9NdAUc75woPzx2Th8mbfQ
CtNGyk1JZswo6cOBKqzNmaLrcr5ulVHd9Wq5LRphr0YIrOuucC56B8QlKwbu6Ay1KVrHjetSliRN
PT1VqAZudYypDMebSb0VUvfYnoQS+P9gXVe9zbKoNLn1VPkVNkUHlNNS/YogiHM9UkYnHHeBy0Rg
paZJtonR+KyLUd81pnslOoEJIArdveRkXxaKCjzS7grDJnazmv97njKE6FS2RDjOGN8QEhib89lt
PE63Hv6VUocDCZ/A6glBDS88vWHehFTqQOZJsmc8ctG1hbViC61tyeODTjXqNkQ/sSj9tJYppXkh
BHOrQMoiY7aXYYkXplTvgDQ3WzkM+ka2VXTddDbyGJdoSupmV3W2LZi7y0S3I99qrNcqmVO/szt7
5TVJvhnRmyQrFBiHAXMhvu33ztUu9XI8O9Ltgnqg1BT2TWiXyq4dQCONQR/1z0kzt+tkim4YLclW
+9TGa6ZHvkV5taj1ga8ReaG9zY16jxfhmNvqsxmlb4NkZRjqjd/J9Iz8U9fefpfxYyhRfVCBXoCr
mmhSQmHOqEU5gfsJcuJwkGa3SXTlxlTuXKU0d1rK2/BhYJcbi+y3NQ9z/m62nN9Tm/bv/73mf1lP
/P8n5zdtCwXGn49t/q3sXvPfk+G/rwR++67vgxv9i41k3kO5z79UBvk/Bje6h6DDZaxv4cEG57lE
ov1YCThfcLyzLSAW1kCxp/0kA7G/qJ6BzUD1LCZCS9j13xD0/yoCWRYSuop0cPmJ2Ap+mahYk+aG
su56OHN552dOtdG18iIs7Zk7FjnImDz99PH8Fw6CXyWCvCBqRHYcBtITlh68sZ9HOK6T6VqL62YN
pn18oi0fXtu43v71iyw6w591iMuLsDBZTAqu66Gi+eOLtEUSlVPP8izvxIUNZnBlJcmLhdFqFUr1
/HdfzMVdoeMpBWiqY8H444vhZIjAd079umybG13EZ7d3L3HhPile+fD3X8pF5mnabA+4MpcP96cx
G+GympgqbMOTrImZLZLz3GHkpTcN1Frc/zdezHG5Lrn8WBb98r7s1nHaFN3zGnoqvUFNwJqeYyFg
FJWr7de/fjFtmRD+8U+GbFTVbE/VNM0iT+6Pb63sTChuLYznMZXkZpWD887+aQrQEtiXjUb8lTi2
RAO8lOFcEGvbR1+bbLr769/iP183hJzZlufZbOlV81dzC4ieDstvCBuq6YiGzNN7d6wOhF+RSGvm
h79+sV9npiz8bPSpKsFxOqadX2+9kW4VnAE4b2vs4MN5eruKBhypUWvIf3HdmBwKf/x4l7mwqTkE
OTIAdUx9WQz+dOXgtS7qZYi8nsfZxlIbR6BsQth6Y88wZZXmgk2LNivkbmlq1e5a0adPE1Rz/dYV
oeYdx3EKqa1Gd0BHX5vZdRTWtGZI1ZjimIQoH9WpzGe6Y1e5b3uNx7BUCS/emA2kE7+o4hmiHrQJ
Z1tVAxsV0TsTMIAY8eOhYFs5POvhAF40Vk0IB17VSUHk5wCmEiJh+mmOZQLlSZki3CEaHBm/lWEI
XoNAXFJwYl3dgpDoqXrmrnvDmVjjmYXko10AYGDFpNcelbDZthWW79m4sQuNyqknPJW89LHoPxs1
Vo5AgHQsv2UjgzRL6uLMMO2cYAHCb4KL5lJK9nD3QJFqfWHn1zWaMNRsvh0v8fUUSZ54wbENCJ+A
Uo/pVTcN6SP+bJiDLa4GPagcYzEVKelUHca6s7EBp6ZJ7+mmuPVgQDr9RQW9Q19DAXGXbV+hRltS
GTLlkrGTXKtse/Rdm89J5CM9bPqNi+2AJMB6MjHOWvCYO5EQhVvWzVbUVg/5JcJqqCPAie0BYEci
rvAzI9yBQ7Rxw7C9M60WMopRgLYyekW9kU6VXsTIyZfZmyAzGgkW0ew1twJhWaIeZ1RTEVG4cUbd
VisE6yqh2BqdfI2H4Y4VHj7mgsnzMDKUnrPx6E1u5E8F5I+8TC+Qxx6HqTP9qG1H5owJ5ZPV+VjN
nwzhMAsVAyy0VPUL0ao3SjRemnPMDNFKCLWdecTe2nVLFVTEzmXaagBAFEBUCWijVQgSkMI1DbTU
uGvSGSxClA5rqBkI7jTSwNTC7Y+jkZuXodkueW+tilDPe2L4+dSZuoY0rmEGOI9BK9lXDo5HtNJA
thCy3HUGHtJl6xxqAroJozOi15PYD7UcW3IbH6Kw3WG9XIK4CV9zemeTCADfCqLtCi4GDbBmYRUD
zJ/FBAjrwKAE0Cvfna3E17TxUXXQgnmK8pBNbn+LOSi8gTOtPSZFspTEGKSF5eIzEkQ1VKgf8S7F
zaVnmeM60RDtcLnYq15x3iq6l7UkihOwCb9YwTWBFBH/OtCcQOhtdoLwj8PYHKAcQYUN7MUw5Srd
BjbcvgZbcGsR8QZF1AauJ2f0ZWEbTOrwUfcd6RHLeBfqCqv8yRI+xxz5MCRXEbaZbwk8gFSi7UdW
qmczruXJroz6NOM5w0zdac8a5JiTnEhMSrNi5qAVu2HgSlHn/CYfjPZcQV3ZOypTVlxstI8V/ZVp
MbHGi+331FpMB8p13E6AjPADxEpAklkitpYWFteAYaoPSAdqQEKT6Q8uokg9+erUkfIYMQq3w5lZ
oNVVjxHIU1DGhXcj5sheT7HEMa3Ii7LqUWpqiNOroiz2jV0Pe460YpdV6LPshO4n63WxNurwGNtu
G8TFTRxBG9C5I5Cy8SuTvISFkVCfdVrkG9BAHBhscrYYIJaZNWsMqHjOGX82TikC6TaJ2kEbLPXi
2Di1t0Hhg0GhvkHt6K1rW683DnEqvqxsPyEviwg8Qno8Heoatu2uvuxycJLDFLV7BexdGBJmI8T0
OXPpHr14fkGENW7sjnGf3hSNL9l5JWPpvPNMPRIKBqYsTUzSvRQ1UMCsbvBc3jIThCxrDezaLKJD
ul6Qf4h16Ci8btgVoLSIMYZmg+ySjDO1CQOuQXJPOWqvswgxAeM+ECG90UI9T1yOuhgORKvg62NQ
ZPhVRsIRJrXijjBZZ2Oicarmst4hZ2A9VjiXlmDqs7edxuVwSHMGhqHpZnfGGOoIF1RR7mBxUS1o
Xtw+pLoRY5xjg5fWgrxoFhHDc2mFC7Snnqw7I26fBei4SzZjBfFomYuIWH1XsowlCQKrS9d2P528
9fwkysSqa1gCzkmpIxFpFqucBaH8JLgAGZBkISBzIwXhy5huXRHOzeqwLY8i0Ym3GEjFbnr1RGmP
652ln19HEDGLBIljqKjWAa+hfg29jdRQiW2UBL0Wd3YOcj4zss2QmZ884UAQm/jb373WqV9VpwPL
2tdpHK7AW5Eta8cjDvdh+qjMNB6PEeEjOO3qKtNW9Pn0j06lj/1etl59L2tchKtCxLZYw4sEyYf2
4qKi7IO2M5q7noI9ACPwtSmMnOlyf8rYdfjVMMm7IiU6zSRQYt9DHgwguvXX+GmYcOj4NKpQ3nZO
jZ++Gj8t4n79b0XSP1q0f6kYwPhoY67+q9Yze21e/ygZ+P5N3ztP4wu7fxKCASsgU7OWdfp3MZr6
hWqb/2IgUzMwfv0uGTDVLwjakBk4iM1Qw/3sFnPpZG2DCO8fjoa/03kyTP6lJsXGbuuGhqOcehU+
xS8l/2iY4WgrZMIpZZRT7CUViq/ZVtU3gaHLn8xeHTYyzYFjUDEqPPR64zw1wnlvdGkjmvSUKvDa
mfmiF009bKVarTeJy16R2VcMbhdY+XwjBAHKLDLs4hH2Za/5cS/rAdaW4j65VisuAXi015GRpNtk
bJtnlwDD3TQJIocz2anPBtyU19Fm7gadu2va7ZzaJLbgzUIKNFaPrS1VILBKf6XRhD2DidY2sV5a
b9IA8mKBbD8a5Ip9bfOWdLJYpPMVoWWceVpndGs3TusjhbhzSIbcWmc8XQVZck0UVKN7jZNevS/J
BrkBbm75eRYzlrUnrfUVWTaXpWZLn1ShIoU2krns/suwUgjqKT19myoGjFm0QPnONTMyHlsGZDQy
ELmubak5Ox27w4OcHIx5pDtS/7tjPQwnYMh2i1EjiceAnRJA/woEPGkVTobsnSTKMshJQbt0dSu+
MCnT2fVFRCF5LMURtxpboekwE5OphUMN4gaPW0788uzHrWEuem0H76mbYL9VR9wJHHyy3+pRKI99
SvpjC13rQ3KAbaYCsVKlgNRe6ewjit2EAgpJRY0IkRq8muG6E+PabzJmtCPk/gRsiEEo29IEmIv0
3qBrvZGuQmiEi926DbKCpFHO4FFqiBoc42a0tObDmkwm5H2UgnttTfoKFFGwD9js/B/2zmQ5bmvd
0k8EBbAB7A1MapB9MpN9zwmCLfq+x1vVvGZVD3Y/SPK5lGyfY926UXGiwh5oYJtiMpnYzfrX+pYB
uT+M2hItNEt4HUbgKARJ/NB3acqZlRgiKXJqDBMnwzQWcaEyKWo55DFDyoOpQ9o7hoEz+duWFJlx
CCFNxmtfDVDE6PGFDd/rvg22fowQeDchLh8Omczn66WEAxAt+8wtikci/ux9mrDlKYE/nO8lUD4X
FJSp9gmJ/c2kWMWliRfbxbrtrlSQ6HdDpGNlEEWnXXiuP9RL0cXIwoqisBvShUm9KYgWgBCymdmi
sgfePbebcodgz/yQm8gJRRf+Ex6+4WIMfX+llf2wCc2YjzXiYr/09AJ4SpXeGyXtibQQeOzm+vQY
AFa6EHZRfZCoyG6KzDPWQjVzqRW+7kPqoQ1x0XDap1JDcPXB3sJUiIptRzbuyDnHO+vHiWfF0dv+
IoyltaUu1iPAnkcgHiys9mCqQ+c1qxrrjm48SI3JjIKqmrF/T0EU4DUdslOWRLWL+ro4ppRKbOAU
eUfTGGsSAUi3CRXtNNbNRtS854C59QMtOgudySn2sCY7WlvzXp6DCGy0bUfw5vD1OxG5jl50UYBn
Aj9x6A1MKouawbBYGIPBB98QrVgCbM8vlLL6dV9qEoMHkvaSXkwqcnFRXHqBCuyF77AW1JXFpHaE
rWWeODpdt0HkA5tSSiM6urBtII5ry9CcaVsOCcRS2Tg4+LW2yceVwMcfcQtz8oOdBP4GkFDXXZZh
3DAKHspQw6c+G2XTrrfJ7TN0VkvyF805FDr9oHFioZors1CSoT6JxOhOJK5UG7eMz8Ga+y+kp4gb
DjROravuKIQvdy1PxWriRb61gxxugW70BPOT6SMfhM2QxJ4bFTNNA6hkyV7ek3+iApErrjluHJiK
xYJr7TguCXcQ5k2idDrtp76uNsVIIQ2lxj48XVgDgVyJNk67U9010rvKccnCzzLFVm+QpRj+0oOM
A9dNKyJoXbPHQ8tzlE8cHilb79uLRFPwtbVm4h4alzK8s5upieD0sMRuMo+WwnWPFdJe/H1i+Wuh
SYmp/J+fWMa3//M/s59OLN++6NuJRThf0GtN15lPA8I1ZvrMtxOLwMnIP5Zr829Rjgk//kMrd74Y
xgw/VrbNecdUaF+/mRzVFzz10GqYbX23Rv6CVm7OWYAfRUq0a749xx9dIdzPIfvPKtpM8LMaU1VL
3Z5bL7TwUq/GcyexXu20qLclyyC9QAKyDSm+ZcKwGfSmudQi99abR8GpmHArD/5thZCM6zmDdh0V
DhdZpm1ORqwmoPIGIHDjb7GKbHW7NzayppmwdvRuicAFGZ7eBf1cDMz2fC8+SNrZn8yEwTTI6w9u
0mzRbW7uQXAgv2T4PQzu7lZDUyajv/TK7E3z678nS2Qv5ovScZDVM2O3h7iZCfNdzKYUoqwRzel4
kOV7onAidTzm2VSMKwarXMNM5q9DPb5nBT3mnBIYPLUZ9OKaW6sPwC3XsUJVqu8U9h7uK2uN4H23
NL/mZJw+L+/p4gARIxNfpdtQpbFaNkNvQsxpbDRGuw+Ywllm+wJ63HrTTSlftMD0oGSnjXFGsj2+
NYJYf8cVGclnaXinlKR60TbCSN0DfcOZwGJg5cWG2kGujz0VNuFZ5HQutD/gGIyS65qesFxOK4Nx
Lu1rBsPCRW7FxZ2l1xmrWoDjYwGs0XsJFawhdPaWtW0kZvXqF01xJkl34X13m4Qtz3fvrbRZFUMb
3zoYww/MDQnaQz67q0XIwWssaB5ZuRoxg8VQdtqTaEvtZdZvOGkUkv4lBiGA+8qZitYKYYuNKJya
hh5omZyehPuSuyXivzGUUw4zUy+NPdpOlqynVAviE6BHFCg6gPkgVqeecd16rVHOYBngrxHUH5o4
NOOlDeyuBhoPjg6/klYBBhPKs7ZGzuhn2ee2dpXmDhpBKt2ZZIRxrzSs5H6C3LSgKaK+p8CVqiFG
xLdJEb0auj8nv9RBzNpKlT5qprzSKvooc/caggIt3h2SleWDEqlAFtUs04PChOB65tL0ocgk6DxF
bVwhhOIvBYbbcYSLAzPY2cSvqF1vd+bUyUPWxHN+JL+RdMBs82AwabfXOBcWpFXYJ7NFJ/0nUQXr
jkPiEvClC6PSB1rA8r9RbsL2xN2efBvws0XbwM9JMVgAdeIZzVGj+0gg11TnqTvQlkMUuIVLY9nD
tqNMAC9p/WIk5pVbpmf2msgJQKfMxu+qX4OQO1BMfagi/CJ83jANAa5Po+GlmeStb6HyEzq9ABWc
8M7jQNZD2aCfRcw0AHPWY469K0o/GhuWkybEA5TAdAHF4tKYguuBTN/KLOgP9mnJwqEQnVaFdUg5
QS0pQ7nPinpHqUd+mskuxI9abFseZyeQV/jRuMvk3U0b0bxqpe4m47xcWl23ohiCd6dHkbWCMt96
MUxdUIiRg+GU0Po1age5WwudMYuJlxR6HpyHhR9vC8A61yCYT+OwcldlWugXVt2I16KlUNygzpj2
uZTO9bi8lYG8xstwnev0y5W4pZsRE59JyO5Qy7g/D1V3Y4f5IZ2K4QI4zwp17APM8m2iZyU+L+6D
ukeaDvSlv8h0/6ER9Rvy77FB/l6WOofjBRTd5NSP9auahj1+yc514jvXg9meApK+0d2QkInG9YUI
SIkh1bnsTO2d6Pqw9iPnuYSquC0T/bVLxCPjp3sAe8VyTII7gJXO7tP9/A9mn78bts7bh4mD3XZQ
ZLlG/7h9DOaYtrQT1jiT5UWQ8zNJvcZDkYLG6OjDaUDx/n0Y+WuHEcE5goPAn8sn1/Nk+cezyPev
+a6eOF/UfNhwGSajujNo/+0sAoUHPewbZWcetH2f2aOc2DpChis5GTCcnQf9v51DnC8k/tA4+KKZ
tyPdX1FODPXzB2n+Jg69QlxDuTL/buRsNn6b5VKAFQ9xq2/Q5Xz/pKlV/NZ4URncYGan6LEKJuux
ZuMmBBWQSaf3iGkuCqhgayS+l6xNuj9W5hhMFxVsnSdICJ538GtI4MewbOKn0M38a2H0zA2DIq82
vqqTt7BEOGIvLJo7M3e1bOmlsmOKYKUWt9qCRTrYBFHcPuOmNS84/qngrA114nsug2REaz2dXEx1
zKikzKazybKZhyDVdNd5/9waWXM3KjM4zVMB95b0vHcOILZK9441cvyJXIvvKX1ID0vpjJpaFZ01
sVYznd5abJvqyp4yFGY1MGvxhXAfuIsAqAPbi14ZVzH1THMHGLl/FpEuwFa+sJwIL9mUeuNlynlS
bR16gAmJDbHPlUQQZkPCBe62G82Av2VyI+7AYz8Zp2EIFNuNY51e0cwZoKqyDVONCRjUYh2Fgb5U
FVHRjW0l/glsl9LcMrznV9A7nn8Ojgvv+qSn5OeSKuow4KO8cIGf2mJXBW1wypZAg0eGYM/Idhyj
cl0F1exnDCK5ZdtltDRw5T1C/uJggdrdnKe+q0F/NktzAB+YtSdtqoUfydxxwM22xBJkTM69a7Y6
pi5NFTtCgrRW5GO2a2sYP7byAM+Ru/OKo2MV3qsdmTHcCW9KLMKEWosTkNuWtSqMWr7pLaRYohxU
oZ/zg7EBJWqMr8RIT8UqkpPznuE7z8+ERtnlshIQAaFgePFxrGVEi4Q3qZwojtkExKaLcD6DtZjp
1y0nVYgOvuKrDJk4V6LKqzfpQz+oq6qO1ok3sOUXVlk5+6jLGSJRkKNd9UE6+qfoB8TySn7V455L
ISLNWAQNNq/C07y1pjzjGf9g3u+qMCjeG37A8CXhFo7vb4rFE6RXlCy7sNNrAw8sVHombgbSvst8
tURLGhj/IbtiSY2KUxwCbUnqPhrNdRmQ8d+UpNiHMz6Z2XiaV5XpHZFsPPPYMviNVy538wS/u2bf
xWTXxztnYMNp/QwHGOOCUOHmbt0WDGLJtvD3lvDXtgRT6oob3Z9vCYf//b+a5+BnN9f3L/u+K+hf
LHwq9IaY38g9XAG/31BRx1mp52soejr7/KcbKpg1gxA3J2Jr5q99dnNx4yUwx9WWGwxXVdf6pZ3B
/DngbXEtZRNixixdTFY/O4T02gyrvOdGwcYxWIdc85F80tCgLw2vr0XxqKM3OXM6A5tBT0vPCrBy
WT63tY2RSAWhr61IkxKgyyGNoQTRVvGMYmJ3G0Fb37ho7dILNjWK7/kY2u8en9O7+QL+TBZNPZaF
T7sJvT65u46VPiBAK5skLSlyaVK85TEXznJ88mnrBldgHKqHOKpyKlW0unkV3LL2TYIbbb6cXnMT
FfcYWuSLGKsMjdQqWRyYkNEMhOyamEsf1xL8WUa5b5obNe/YVIFq1GSsETzx/LfePp+bLykYboji
VVdOPVCTWTYDQaoxWYdpfqbKCaWqD1HWghntMRVEtnArLCs3o6Sd1K9hBul5Sj/gIVZq2pTM9/YE
ZkBfWoXLW4JYX7e70bWBXvq9lM3JoNHiDOnbEbgVOq5H1WThAi4NE8p2WyXNk0yZD8IitQ1cKhFJ
5jzKBFQTqwwoqcaZtG5Fe5oO0ky3DlXc8dKutbl1HtMpTpKKQHZYcZpcOZ2nbQlzVST1IpMai7aW
JPt1io+oG6aRYSusAiOqgP/TrbyCS+2yj0d9PRpNsqfkyj/EHM8PjjaixetYcDZp1yCHm0WpPxhe
PL560EZpkjc7tssRp8E6t+jomu1ng6Qg3sM1YtDn+xQLaGjIGxRQ732qwZKlIXqB4jZJ96ILBPfN
wY58sm26zrS9SfAl7qqx9ssTJuOMZIKEtsDa7l501mo8qk3BJyWTs88osBxePiXq+rjnR3FicvGZ
cy5iKIkEFPjwwEXsHv5eKv/aUgnu0GUc9+dLJZ/S+qfZ4/ev+a7kseQpe0ZM8BkTCqPAp3UShjVy
ndBxMn49C38+Qbv4Wv9onXS/YOZkmcRL68hfB2H8LOTZ4DQYgbqu62APdX4yUtJxUbtxJcRSxl63
yAnBLqFx6Qs1L3RKFs5OWTTYmokIMcVaxQbMXrAmZQ3eGOMST2AKlH5q3AWgjFvQ/vSeh3OCqLPa
ZdiM+0/v7R9cHFGQfveCkUQZfXK3MHDyzZPhz8qjpOzGNYH/4bp3eZr9lMNfTFuauaQRnsxeWVeA
HtKxIOdAg4+/YwjQsTqogJ7sNtFYNZhgFo91TOXyMvm6rjSsMMPXtSZtojrYZfMS5JT8vydCau6F
UJ0Xbh3APDcoQe19yqIL45b+vYowkObc0AHX0qWihca+HGeXrc65k6xMGDJ3gtkd3/q9H9z6tkfH
qt+G/WYcNC73kXvDIm9fx3bCOAAcQj2s+6pA8ZCy1fb0Q8gJ+5uMON1pIu75YczKAi0p5IWfYIIg
lOy09onDWn3S2r24GyNozKu0lbWPUKafGRNcILJ0aZqu2gjV4oJtxgUuYaXeMR31vl+2EwXGs6qx
0HUaHVovPQu9eLi2G9jKGrLiEgv2TaMgn7WBC5GodmhWSKzroBbHLgVHXEa4IFLDLAhFRna27xgd
bjN/UmexzNtDFaTd3pjCCCTlEG4TLT2rfDEumMV0Kzu3XCjItC2oASREzGybm5naAfEwCLaQJBbF
tEIjV8e+Ca+M0TDWaewPG5BR8OECCwZnsNYT81w6wB9yvIi31tROW1pbnPVgzs4w2axlRIs0PaMp
Nq2BuZeJgZBUyAFuRLKghu8E4ZEbWVeQKq6Vt7bBn6w0uiS3bRc2j1hemr3wdLpCrUlfjf6rDEn7
6EnpAElKSwLLQ34eFHhkAJ5Vy5Tp5ImILTgU/nOG5e7AhYe5WJtulc+E0Cv1El4a3pGxirGjhQ2B
CQWfagB6l7n9hZQjOax5Yuf0oj9PKnWWeOG+oEas9ZKlKpu7hB7JDfL63WgE5T42o+CRMGAMcSrj
IEDsWFRb+DHViw6HYyTTndvvcBCDcw/u8wlaqD3HrilezZNpQxcFLNEux4QbdOOJRLx/q/0BzhhT
3GWSOIjFpt6sMhyJt7SV8dQXVP+9l41LfXIVm0Skad6elsKd41Z6Xb4U0sF4ng5h3i9m29eJ3U4G
EXULkJ/phKBwVTPIpzQowZ/gfpUUL1Xg27ddV5Qhc2bDx2fZB9OjVkp8YXqjStQ6qleqJWcyZmmK
6iMiOVodblK3956NCC51nHnaI86d9pEuOfnk6n5zRzFJsJiGanqqY9UzU5w0ovCR7eFA7eYzgKCw
jXDa16PB31vnX9s6hcFU+dPy/rsGiKc889vk7Tn+SXz69nXfrxniC8ZwkxIIZWFI/xQaMaE56+xa
7J8QnDjdsLH+JkAZX7CuIzAx7PqKDv3PQRjVEbPy5OLmByfM8OrXOFJfB10/uPWpYAG/YSldSMmf
P1l34pB7KZ2YGE4GaAdPtqYSFt6ht2iz8Uqe4cFgd5zV9ikFAz2qbpt1foduYNTQ3H3QouSOiYBY
ZFMTRYcKzxaLm4+YvgxFV2AiDS3/BDx0/VgJyyReZ5X1hQ5skZDtzL6EF1AyrtKE5iMe9Ow+LE1y
F+N6YtxbOTMVwjyh3SvagcefLvxUP5ij8QQb73GQWbYTJGmrMk45aZNrK8qoWpSlSZatDQAaAr56
i+scNmafXMSZE+MenmAuJETvjby2VklBktDvYTX3WikABwhM0VFy2erg/8o83RjZhGkG02ir+QeQ
KeeRnb/llbc1FQN4kV6WorpriwefPGqr64fa7C78Wq1KiW4CGpgQaWyDeM8fc4qyFtJNL7G/3qai
iTmigBOAEXwCuQ85IsVuLaItNT1U3KvLPKzJ8jIFwvW7EiNZvxx8fVrmD9PQbDt20tBtjwjnNDYm
V2Wl32Vd+SFbZfP7TN+TvEuumsyVHIzKfFVJUJE9bimIF4Z/oQ35cMLWx5DeSDE7joW8hnxRnqSV
eZk0cbJnrnlBsPthytobbp7jYehnWzG0V6swL1WWHvukPc0d49rRIgzhnUOKUsyoUuOSzMma1qW1
it+b1Dyjm2hpN/60sKMGIGN+mHommpF8KjhhRG116BLMCUZUrMB1fkSpuQhCSg7bV6WaO1GGJ/xG
r0dY2G5SX0NOZKsBpjGY3sro9KNuq/MsxnldSzlgd8ApSqqWVvPL3GpPKOW+ziZSqPiajJXtIMU1
YplTAy8roZY55suX3hlWVTupAzbps2bwTiuCx62j9g1Tx5WuVdUjsrCh8EUN8t6l8eHGxCPq81Y2
XIv/3665/4YJPA2RZc5yEeP6Z0vqqp1e3z8vpz983fcl1fgC8NjEZSUsmsDsec36TzfkLOqiwVjK
5c8fllS8BeTzWFbB8zEF+Iemj9yP3iNMhf/kuyPhF7wFdPX8fMKXOi+L/BOXG3Qbe/7vnxI6rAB5
U/muu+SWMd53PiMilXousDbCgxBHw/g8xl9IZMYK7AuTXB8Yoj54Ggxw6D6Lwls+duN9C4qX8Tzn
K6aXrqUoV4kAgOiacE5jjuR0iznp9J5DlIOMgJUHOR/WQhh0xIapOIMAYKcInXbZX5m4ojd9YW4D
VZgvhBxAO1DVVp77Uo9WrOTSJi5oeSdUDRu7MTAf+no4NRuXBrgWcO2oZXfdaB9FN4xHz9f1necJ
/zhpUXxTgbO/KetJvoQlcjG5Yre6Ynggl7Az1Fp1eYfriFUQpIRRUqSc66DfYBcek1betO7k3buN
e2kbeNW6qaD4R3XnWRuW176Pqdw2su6RHApiiTjz0FcstTXb6NBwispaWurh2K10q38pY91ddOP4
MIXdLonFIfIUIAagfykGBG+atkFanEN43dlmwsCOHj1vFFQDJQc9mebtK6ZsEUU8n/SHGUtlJAM4
lebFNkbKU9znvOJXaD9nfkwcfyLk7a9UFFCxWwL47HZRlBPHgJcbcDdZkighw8HYs0keulRuClmc
S6tZ5bkVrOIaXCFRbpzkRXVKBGlN4uq9DZLj1DNdKWvnPJBqnaq3RG1U5d/QIv2IcW0ZaeUySNWR
v+CZuLtackZIF5A1rlzfOuImeBW4G0yP02JoJa+FMd5VjF6cr6kLUXUnzLQWfRJfTITxtn3Zenyz
4Ub5+pmg/gCLhEkZdAI9mDQHxgBHvxoNiT/OfXWz/E5zGrUZg5xE2EQFimAY7uYhRaG96S5ENGWb
SvIRzPCnLRPOxYsixDCY9fXRbVLGvAFQqUlowarzeZ8Mr7pHMKOANUrDlePrL13pwdw3/IPfeM6a
pOvzWGfbygPw1E63gA/W0VxOPOYvqQM0Is039VA+WkCvsdu4yHCkXBcI8tWCWgbaI2OchGHu3IZd
xLmbq5tZTC9CMTuJqhV1uMOidyNqE3MS7UNfVStR5oeoIA9S6G2DK9M4ZD0fTU37sMV4kTj2wzDV
j7VvGkvN2w31uuMFxyZG1KnfWYa7CwrjivE4NBjWQkiOE1Oo9MbznMu0wIdoW+lV7/YAIRI2Vn9D
+l7t0uajpIvK4/v7dnhFZ9x5qlm3ugI4UzJN4Wcz3wbffGDd28Bte+7DoAfxyEWSD9NpLiFVhJ24
ZQbqL5oJD+k4UI6gwfZyNHlOxPmF9J3G3LxrAJ1044pQ1pvv6+d+EwLYmvh5q6J842IzMtnjwtm3
2ZtI+jeBY2Ppxi+DA3yQVsbVzCAnI6W4ayfJYAK6GCjpYM1VqzBnculGMVzcIWO5mKqJHNAgSF/M
2BzWqLixLv679sl/wx2Q/LdtzlPmP9fiTp+rt/AnW933L/q29XH6B/XKaAJlDSl+Hj//tvXNBTAm
KgJjiW8T7X/cJmAHKrz5uP3574w0Zo3st3G2ZJ4huEXMPj1BDPCXIujC5tv/YKuzyU+bc4aa78cM
3p1td5+2Pt/iTNkXec05LD8dZeQ/9yY3DAJTiXMQ8ei/UQmi1iN+41szBoBpcvJnenca29U+d+VZ
qZvjMghq+k7y9N2F2aPp2T6TA10dvsZckuMZaSos1JB9QN12ZP8o9GiPaYqXNqfzlIlkgvfKC0pt
Q2EpVaUekQTVxmJVDlyXNVM7pSWXQiqEdq5l0RKXzsZOyutMvJUxoZxUbMZmZqRh6QVCuh5G/aQZ
z9rI2BXdDXUlQzcTwQC8FJWFNXa8Suz0LaT+ak0VxEnqwoPDtoRt/90rAmpB6AuPK5eugDY+AW37
GNnVVQxnyARLOicEHlzrFY+4vJyi9sztNLrUumctpMZsGGBt2b2eXSYZY+1Wy3NgoukM0a2aJftJ
eRBsLpNZuS+TJ+WBk0fHdKabNiAliA8MOzun8I5ohhuptSQSvcqCD4pwtrJgOdK7YyJwr1D6/VTk
Yq2DZGmhcKXObVGZhymJbkqb2QHUbXda2t6r2yDZ0Sq2iQwQRBbYdL3aOrmxRGTimshR+sGkh2HV
jsyD55B5jh9yNOPbbCJxVEUe0VH1UfVFuXQFFcRYkjedXd4l1ZNlnvYmuk/NoL4QJjNTr4jWjurP
wNlBGszp+9pEA3cnR27DsXvOEW02ut5MJy4wtHg6zyzqdsJ7GMLhSZ5EB8VWQDWLozOrhltSmGTt
8l3bUTEtC6KkTFAArgUCEnuQAFsCzo/8hzl97OaEFpkOQysh6LR4A2m+VvYqTKdmpYCD7/CN6Ksq
U9XJyMcNIYq4V+l72tGURXlaNGAmW0KNCSxcAbepLiL+r4653UVc8VmOKdvZTJE5T5g0pmBhWE4m
8xWveyb4lY0LI5PVkdmJc19aGma52lCPyBrwSMyEaHI6JYNBfiwa772+AoGSlXTTdfqkXca2zIu9
7dHqi89Np49W70o8fbIar9Iy0dqTxAvcM9aR4qYILONeRCOeEj9wqmhvqZZfatG0VneOgVCtXLqC
kxNZDx3NBQYWwlXoEWHDYSFxnUJlBh7nhdMxNjRILWmbpGclHW13cavEYydwkQGG0cl+s5HVt5xK
+34jh7woz4iPuLsJqewcQVDe1JPxalmjrT/gKZ8Nje3AbSwMLaTy3KToIIz7JNzpUd6IVWYXEdmQ
UZUfNUc9gsUpb2IVMeo/q+pq3KMvuh2ehUxZq6rEHe/702tuR+HeTNrkoqjYeXcTjQoHHPlsm8EU
orq3sV3vFBU9Cf3MADUYVo3r/64t6zM15X/8f1eoiiwyq1UmTrk/3/8OxOBe2h/ktE9f9/32R6uq
brCLGa5pfjeJf7/9iS9MgpCwMK+7BsWmP9z+bGjtbIyg25kYzZfQ71vgV0GNSySjbZO72nwx/IXb
32xD+GEHtDB0GZS7cqMEAc9d88cdEMOOZQ58mlZ+FjOwj5s2uEzrIHxJLQqY9wzR4xkmEM+wj7S5
Tyt/2NaBYzxTTd3n617rKSWk5cSYb2nUfrNUp6d1K7Ru5dQ6MIFQj/qHyqU43VakuvMSoZhVVG08
atzOeplEZ35hzSU8jcWWSCr56Hr2eKQQUe6JxCA4T4PVH+ywvCP5ph7HYhAXWkbyl1ZH2ylXuscU
GYc57RR9E2tr0+6qXdNS1ljaU/xQpHX9Mfux9U1iVfV54WYE/YsJ7leI82edWG0LkIuG9RWdQ/SO
dUyCl1aDTXIRGFV43VLlkWMEwva7os5TI2/VxKa78RrJEH00K3MCqlaXDCXCzMdnkAbQeNu6gTCY
fFUaSeGjOlYZ5uHzpJjt7JPpbO1AkePKOHF0Ww06HVVDtRP8F46cf+3hvPm/qE3+tzy+zkWF/1S8
2dfNc/bSJp/1GyKr377s29MLKcnF0wIpTzEDJa6JOPKPXAhgba4wOofR7//lkxyOTcdi+fhauDA/
2L89veRfeWRtHcOOrs8Apl95eoX1O+3GFsjKLkge8rFz5vbHxzfWGvrAfXrbrVK7pfeYZsAMG1sv
w1Vf6/rW1FAeyUZwpQYcHA7Vh1LD2sXifuJV5sJV1UUw4vfrg3BjSR/e4kR43oV7DPeiWDOUXhhp
MIKfEMXOiTDnuRn9xJPoXwi+3TbBeKpFmraONePDYs66joI8WVdGeF+audrT8NktgzF5xXGfgzzj
Nm9EkQdoE0JbxpxwxcG8Wcguf2f01+HOBwPoyvaEBzdeZJTWhuGok5t1jCN17sUxt+Nnr+w4sA4t
VOgkbY9NZzCGtH1vM1ROt/HQqJI8uokGytfbEb08Heq3TpPP1Uh8bIL85ldI6W6VbFJ7NLFypq+h
TmFVgn9nkw7FunOAZQqLnp4sPAfpwBmmndbQJu5Yk3dkXjHZ14gZNvM7XntsOTNewzsRkRo3U2GY
R5qlAE+Pbb9p9eC6YZq6yxJroJxAnEMA2TlY+xaelojbcuTpt1R5m/UcftPeeKwTZhNubbRrrEod
LU6DQ+Fh1i1IL3Lqa6ZoQdmueaT5BcGiZqZHZoM/+iG/IB56HuWgR0JqwtZTn21yL/9ofevSyut2
YaP0ZbvAzkpGzAHmb79j7LBEcefAPZXuFF5FiIWPHK+RFsz8bNSMm8gaWPIdBgEpdbEUQdJe4Hbp
IW0sqq0TOD6Rek1R7RZ2qh21iqFy6Od3MpZHtoETHXhO09YPhq/fxyQLV5oyHsbcL1epOdWrwm66
YkUBZHUWkXR8kmNqekt4rk27qEMeL7iSDRQd3RpsZ+9OzHnSoi1JNdQF59uiru57LazPI5jgVBYK
/td0auWd2/Y3eUjBRhwiL6ZO1KMW1Sl53DGA8aBNr4PI9jiHxWYGUqe+fcKUOzmPeBs2VZjLs66b
AdIZHdWqY80fegDYAxCpg24Afo0ydeH2rb8vmkFnst4mK+CKyDKutwOudI1YVmwnuz119fG68hL0
S5FRI2aE0+lQpuOwqMqApGmRjsFTFcM/bSKE02jceL0/PRYWtFLTYyaUFVFDnri6NhTlTe1QgOes
/NfG0Pq17Q4GRFGeynpK8yV7s7/s+2xaJ648pSX8zpEiWVWkEPaMy7YAo10+960OnQ86xkxRxzC7
zHTgxHJ4ZxRBfMdK++XUmgBn/RF6Txndh8nwFLapWOi9z52gbh78igYWKEXTigqORxwb0Sbs+2Ff
9Hp9NZVa9I3FwAnyj8vf51Xsx6Efr8WaDyp4dPAH/eRBce2mbEaKKZa16z35E4dgszopOEeHRvOr
bCwbzWHuR0QNJCVr/eTPYVKjNH2igEnjdOIQlF7MfW6aLl4/HRT/wFjze+zY/I2YMEgDExA/F0LL
Z+mhHiszTogILUFAARqurddAh6qoEfOJkg/pFCnxmIOW5nfKJpZFUmDzL14BMYLfvau8pXNAkdgH
w9QfX0FeFungkL9aQvSQi1rjPixG6yHhIDTSvLLIMXNSWMpHmgxLHZjMHP2Dk+Df+Bcv5Pdn0FkZ
ojuRcAq8LX1WaT6pMLTM6h4nJ3vp0467sHTi9fMGIwPa9BLlrMib3fhJfS8asa19lvUg4gKY9/pr
HNj+v3o1f7CluoomCSUIdUohf4paIs4GomD+sOz6kpa8SO1r3P/UHpJwQ5RUWr0Gs+WB7RxgoGsv
4eg+DaNDrWR6KQaAdXo6XkRCnGldmCz/+Vv1h69tNrfNo3SD+fyP71QXF1UaNBEfmjo4SjPfE6ra
Fpl6Hwb3siv74F98v/nv+/nBU5JuZcean4mfmzorRueg8PiIWH1774XR3aSTMCvF8O2U+qcPOIes
330nMB00LPMpkJKH/aefDLsr92u/oDXDGC+1ynyoPeNjiqrqgqTJcxl56TpJqjfDgQ+ueufNH16h
v8TL0Rm8TVjBzPI0jJwEQosPfhASV+YQnc5XHiwx0xxWL50sfNe10MJKXLTybAT1DlzMCITakIVz
rnC/KuZVlcxvtcbwJB0/yuoWia1P975fu0Ds3WEvJx2rvqMK9mE27/A9LunTowyiXOo4/FcpZoQV
IxgIr+w2e7ru8Mi1+VOtVRf26CLwtKj8cToeC93c1yXo4RHExlXv9OVr4XfGg4cz58IzBrEw7WB2
/eoeGDb3itg5TVmqqTFEaxcu69IiNvJmi85ElmWMAcTPxwQtS+6d/2DvTJIjR7Jsu5WSmiMEil4H
NTEA1pA00tg7OYHQ6XT0fY9V/b+HWlgdMCIrw8kId8kap+QkJVOcZoZG9el7956bTtuMOL5Yl/Mm
GXHwmgNEoGhVLAyD4C930RT4asuwrm4g0tdy0AgDGJHbRgFQq2kp8wt9apUt7hsAWBZgPjYWdx6q
L86SNmei1RbPRGwVTlYPf4Dj3tSgFtMvEQ89j01G5TSb+yiG5A+s2FT1eKNRv4gAEePI6G9LTMTO
HG1Iva0INuRcYYbbG1V2ZgZM1jV0vox4vuU222Lbisd2Sq+CdtqGptzmTn0ozOGZyuu5L4jcUids
NcIZbquhRM6W9We46e4nFe4zWfNXXRvxWRkHxEI4u1KHjUzyMg2iJrqNsAMhxAtf0FbUpDuDcwp6
eBudQBPRETChU0Ky298VLdetrnM6rkbIKXPJjguy4YhGDiThq8FKkDfaUY9zGWujHoN9y2LtO3Cq
87iJjN3MEueXsUADYQel20XiRL/pRkQr0pr/ISpMX5/TowgJqFD0kJ+BiyWyLyjxjibOlE2bGpxW
UwjsTQTTjOAGVXtSNXFYKvveHJJDDMg7yZOzhFqBr4od2JS+bTJ1xFdKFODaQVbXGWSef5cab4+w
lNtADS8SNR2RNiIyi8iqvSjjPnnjWTV82mgBmdG9ss+aeqeqqTckcg3WCvbwTPRtmgOsSpf2AP+l
23WRxkXVyPbSZ9V2E17UtTdLLIWg8zxym4tUh4wwl+egIsONqqAizYNvTMvsHd5opoDLxRAFN7o+
e5NNc1yth5OVBedtUj5q8ZIBNiuYJJqE6Jj7hao117+CtDq1HWNDwA4h+aLDQlE+d6hRDQDQOuGl
ZXKtKvKW4Kr79/X435Cou7l6+6//fPmWE98Tt10Tv3Y/npLZfzT28b/vje1elvil6N6qv/x3f/TG
nN/QXKtEK9HNoku2+lL/6I1Zv+nOqtWmLsG3ahE/+A+xGeMhyhWTf4AsAlvjCpf653iIYgqZMj4U
+mrr5Ohf6I0x7/qwKZkUZ6BLEbLideSg/6EUkC1ip85GcUCnfLlsp7aIYe1m5a0Zjs4xL9ceEtUL
SElzboitycixcDGwq4rb2RPvVzcR47pNFbuu3cBhvKCMlV/kAOA438SY7xX1sbHC2wCuGlaCjL8+
HoSd4vwg0xnK2ahByUnH89JsPLoJjA3mYptI86LosHIYw35ZheEhST4jUAOXvIztQCPJqWKvgq3f
qxxkUemiXG22EnONa+AYNNagFRfHBdtQfighjQ9JtddGCIPRAn5lDonqKRL6eRCBnO3E6ErFdXcU
YjR2OTOPw0xg8iwJ9WNqVV1onMrBG1sGs4dxJy+ibqtZd9UYFUBZMFJbwBaKLwhdHolVcPsCllCe
f6ER7lXt8I1U63lbllXmzX0N47Vw2Bvy4EHMyTOLmmQ8O7fHjLu+59MWf7HtN0MV1R4rFHkmTVvD
P+IoPDtAopKstQ7hpLOkORXwyQT2BVOl8F4hQWHbm+GXcV6BD4tJrD3D/6e2T2ZvsOf7oeoZe82j
ziSKvb9Im1uTVD1I+RPxH9M9jp8IdaEezH5JR+icHOPmAcwimr+5VDifhos/aJM8NFpRXGXt0N4q
WAGYKE/1ZbBeIUj/wk1tcYVHnkRBULg7xiwCdn5+HQvzvNen4rYhZWUzVNHgg5aHC0ArdYVcMQi3
7EnBrW1/x5y43BiSCp2UxOJAjiNZT0FrJ1uFcn8r2OE9YXOr6tzOtpqi5QRq5P2prjjsNrGGxqAz
gDYFjXXSQxZd7AqnyhQPNQfIA5VMdJW3c+EvrcKKjegewc5MiW6SLoOX0CsIVw7daRxGqDfgp2aa
OEpxX4Tla2hFGN6NxkyxSClarLplmk5fCweZzMTbRAYQFCLOjmnSnqxYt7qLgiwXjZDcqfdDmBCS
zK6eqRGse/zzlhaYGK8yQ2t3kRJwhXvDAAeVdCVR8LFSuW1lJ4c6MidP09Hi78oeIgNQVgvCgiD4
xgW7Tf1aF8Icb/NGIeyGyZGW4Q2QRrAr3mMdMFYR8aB2mLzs9+CH7D0EAgfoJgC+ydVcpeI1LSkA
Qr04xXMHKdiKiWTJbKATB45p061A0zKgoTGsJ1zSMBdauTayEuRElTbIC4KBmrNQIVIGG3L3unDu
O6EMLx97/Gz3vWl011GeSeOaOBUEnHlZhc8ZiG9r2zW8TL6WZNnvBPF/71+/3L9oJ6gs53+/f/33
/4P+2/y4ef3xj/5oDWOtF5gdpUX3lbOYzfn6j9aw9ZuGiHrVD6q4Helb/HPzkr/pGJOQRGOqQXOw
ogn/sXnZmPv5BFvDGb5qAf+lwc6nlgkMehs2ESghRkx8zx9Pim3fJDo1PHLcwXql/XQ7JPQXY4J2
N4L3/FeH5o9CihV5b9M4Wbdex6R38uPHqZGlzLpDp3Rs5hW2hhB7WSL0yPq0s8dpj9AJyncffV8y
2+skCYAJXmygdQZ1OuaAJ8ean/WWRI40K0DC1nPlKbOz/KKRtPpdfzzQIuHD866tVErHeA8++HOr
QSZlPUVm27qyTplyO9UzmNe8NR47Y4UxIzOUCSwiQlt1vJjEtbcy4638P3wRboqxTv5AwdHzWB+e
P3+RCB20XqOhdsm2fUb7dE8RfVxGxbPS+Inher0N8xKfEURCM7xVesRpnJzlL873n/oJ79/CJNQT
SAQe4Q+3rdBMvU0H5CdjbGMK7d6isriyFsblxI1riDR/8Zys08Qf+gl8nsPTQafHEUxUPnTX8qKx
CiKpSCwws1eOZ4Qwtk+RQcZ7BxLJUPtTT2v7Fx+6+p8/fipzUnp5IOgRDX3s6CANzUk7rjo3aC1n
Mznh1wy1tIsbDNetAy2hUVrJVABhYdNN7ujUUAOn/FnjkOja0LU3Sy2mC0UI5Gx55gXJRC4XyJkY
Xv/c42OZ5puBcGtv4WYudA8flNS5TQiSjCaivJoBlYNszW0yWExiaqxTSIjIwv3+pwXq9Pt1/I+i
z09lXHTtf/3n56d75YUwLFYFjkXz0+2s9ZzeZV6DGhdavU1AcnCA4mV3AuVMIB3aJEpx65gMaJfs
CaMOTRYAA4n8VabCx7oZXwb/IfB71XdpBKb++HBTBUbwFNbvUWr3tIhfei28smLj99PX33aN/uLp
ZWiNDdswcIMQUfvjxwS8whKAUefCG90Bfb535uygRmt7eLosECH+/PJ+WlL5TQJ6DmuzTbfUWB+z
P7UpRwIE52HhVynh/CayKPdkUJ1NVreLll8uEH/92/75YR/eFAyRGqQVnllUOVdB013JliqGt4b+
iU/7Mv7FS/KXPw7NA6e6VaX+8ZaZSCSjJS3goyZEVzlGbZOCt9wHTB033QQM6+fXkhHpp5fyXXBn
sxdSX35i8PZhvrQxfX23n0CugxfPAL68g8Dwq4XmzmH5rdEhSbQ13Ts4LFsZYsk7TqxayWLdO2RM
rLwxR51AumdTG1bbYRqS9AyJAYPIQUtacTAt+mSXZZgCoQGf/1roiHe9QNc63e0Yn2jbaiWfgT+h
WQi6NSWwO85MP5TIGDYpga1fsKJIV45Ky7ixNr4qXTa2B6OUiKNDdZCvaJDBOuWkc/qhWcrhMGHv
PRR5h3YrttMF1lUHkXZvtVr2OOp59pQmaXQd9SpU1hFd93VrZRU44bKdKk+OECbJtrcAjiQdaepO
OYMDCK04pM9cT/ZNOhr5GxHxHXLeqo5ypLvZRCZFCahl7WbFr+GAOz6tU2F5I9bEEpEUonnF7kx1
QxEtT3YEm4+tWhamlwPVCXyWCmAHdaCI2zBR2rMmzxWb+Ucf38lmsWo/DCPOc5Diw86zKlSPKJZm
eChlXnGmRPZ2Yt7rVEdiwgnH0zs4QVkA4ksrQ7yhxmwZdxZ5YyqnNlk9DYzb4c2ISb7UqQGfoCkd
82DG6bQz0JdXPjc/NZ40NalRa5NxFvHFG6nA1Y/IwAvaUjuqVgnDYUwqo9wZlUrqHtag+ji31B55
6CzfsBaVR8IpzTs9Ld9ic7D8tM8dV3D2vgD9WpC9WYRnRk5HH6wu6WeLLsGkaLonZo1wUzIw9baZ
d8FcE/7pJJFXDK3jDrV5mxASzGbHxuUM5VYYxutkphyxOzltNdFelaZ84tmLt2pTlZ5BDjtH6OAm
aRmjtaqCV8Gx6J6BtYXdU6yPeRi5IqnVo8HjthEmERvxxKMwO6DuGeXfBUAUL8opek7NQbvMKvwA
pqiI6kTxXfXyJMuAqDq7vE/6kVF7YZ+t5QUwd0I1TYAuVuzQbqbTz8ZQ0uzGIiBcMH2VP1b2U1uQ
HJe2dOiSanIYnvdXgBFAOrCKi5oYjRCIw2awhyM2NO3Q9XhnozoEaBxAnnz/RUtC29rSU8NLjcZA
sJnBUDMIAtWVvPeXhA6jHIcr0c+8Y2RKBEWhXgYcddxxbvjGGrd6sVaQat1ULsTUeiPnxvFFpew6
NWPqksFu7Zsl9M1u/EILIiHwRM/OkkLHooB+D3sccsSs0p7ncRUI5l17oUWLutdZA6IufeR9jt0p
m9GdY7bFELwUpBlX0U2TqhzLUwHxwmxiVydXEJCkSPzCJL5OJzWWi80ZXM2oCydiCsi8GCYgSzn2
fQapF30CHUKt8MSRWZvulkn7/WvNMn2MVXkD7OitMWvMJwrplKnd3kFsCbYGnRCytiEKhQpQKSWM
12GSUpw4DWfeQrxaKUpyKnL8eAy8N22pOgBEGAuj4n+r4fD5fVx6zLk5fQ7ywS71+96ev+RNgNdi
bQWPZj5siz49NTaIaRa1m34YrxZua1DSeXKEcsOzip4K+RftayLEp5FQ7REXJRIo7aRGgoCGtEoP
CEp3IuxCWggsuE5B9nEQ0ts1Sf3YmHP0bRQ8uYsGl5+wUa5LUj32iWkysiMit6IFvpnCJHF1wNcH
YZbTxmD87powu/mTln4dkJxOGB0nF5ZzPMMjACXIRkn9YATKTaW032JY19sxRvMAW7I+za1T+1Fw
ZqLx9uIoP+aj1oO5dFr69OlVI4NTk2mM1ufhAVVqRWQErBKNRdQXWVrtlFHUPmRlCFutfOzxs7wh
BKABZPTOeUPgKhMQ+IcJZCiQ0/XT3JFBo9D7IAbX+GKO6NM0qYCRMumuY96oMMnwgPjtPDQHkUQn
ZlfNRR3VuDXS8NREtWDkWz6hEZq3TUsoIP3XN/qChPDGjcciRmg8mgfaU5yk0oV8FVk52rUMZX0x
KlI9gqbGG4/Z3VX6AI9/Hw0XOTIUnOSMrmpjGQ8ogV4rrRsvpDUlECWqV4K9wLmbJCXri+JJdew2
htUtyMrHzi2ysNziegTGlh5UIC8+4egJKe0oXZRBkKdaeqE1nAYoylxaws4DyOldKE8YZhbOSFG9
C8XlSNnpEhyZ0kFc/zIFUsmDlypEnOZrsd0KlEhzGuzyeIFutqAZGUvteZl0GikB2NhULA/RuFzY
TXqNvgjtB3tiHhR/rAd5lBae5cBoCFGyXLICuEaCMS0vybM3VQKh+YVs4TH6HjXMG3dS6vKQkOBz
sdTBbZQKgtBbYuHLgKK9o1lnl0wKF6nST2C+gqJ/k5TZ2Zh0TMzi7JsT52dFGRBUozgHBIlfxiBD
L5Nllj+H+uTBlnGVtHwcHDJXomEwz4sGXHxtwdxeInE5ZJbuhZn4bhL5GhP8rDm+o7OMIcfmJVAm
yA7KZGynZbbdQU9Dr+H5AWikn3f0lZF9I/6BVnapGzA+cuGQ5ksxRlBK0/hIkFLXwma8MUl/ul7L
NXhhPIkoLkmWUkkQZwLzFIqBoaZ4MPvqZUzKizVCxC/LkPz0frwXIAw80eV3RVFcqARJN4YanTWT
Ks4SPMFYpevYV6wQCfoEc5PG8j4z6+5yqJdvQb1cLcxbdnZWfg0iVfjogWaX8XXDNa0AoPPiZLXB
V8Nc1Fv2fk7xNjhjcd3Tu4NCTjc3M58DuEGuYhe4rkKxK4G+gxkSni4yjlnLTSmybPUd5K86+u8N
c1u/0VEoQVAnfGoMbL/mIhxwALMTraUqOhfwTWYxA/JHOZpVznXPgrePHf1IX+BrYyGt53JVR0Wh
hReVzCYlDZvzKNMzr0CktJF53HuVKrl0DrrqvFxfCbAHSLbEplanl2aw8X1XFKSFFuzU9XC1VufQ
TiNWmBLxhsNhvh3x+OEnfwFgzAGedK9DE1eBtzQ8aV1XGmwXRuQjU+89IylemXhApzAgHldp9ZJX
gduAcFAIXhfjWPsoiDA7gdHaaAMxqEG7y9AGehOrmT9iZ7KB6dlNj3tQWulOrJT/vjC/moskHV5q
9wRdILvL11GFMe6TqP+u97CXcuqhQp93ub3uWlFHOGsyGTc5rrwG4zEBbhtR2eOWjhceDAYaS9td
tW3bHKpKfME6gocQM2KdaZ4j+2MQ53hTotPELa7Uuj3AlMDoEGrtcWI2V+GTLovyXs4TuRZr0H27
PgwDv3ZDcivKe+jwdI+o+4OJgzZqv50VEYW7dApeSEYPfoxl1Q2GjhKi/R5I5cVO9cMwcWZhJrNP
CwWxcohORS9D8tfActAlG3e9kfHWOztaDcd+RGozcOkaOsd5SA3TxuORy3vAWfaVxo9nkzYRi4Cg
qGQ8CSsnW3qWEAXqR+wt/mTCLTHx7K1wkMowUvw1Y8C2sjr1Q3mAgXM1R/O0i0ll8IpU3Fd5dhWO
bbHtnKxyA4jAlBYLrYdJB0HjoK4zwvMuLi+NSHQc24PbsITmt/agiNkpXK0CjztK5XIKW1Kwx4sw
TR9khbMHu7iLEYDGnsBcWTnpBcCel9waX2Vf385dRBXiXIO6zLxqJMLEMp4LyNLVYF43aUlwRVWC
u9Fmi4Qy7cTL+2S1ZupZ/cqnth8BgN9y8CUKvuYtTiSRurU2nENuIVacehhqATm9oyw302DoFEbm
DQUfXgtE4TtMS3d4rN6KhDuhhJbJozlcgnG+xnVLNLdCCrqiYMmZyQCupXoaZuuxEZOxK0kZ3uZ9
mR4ZC7yZ7fS2kkTcIMU7g66b1DE91DA8NKcOV1FRLhkkmPx8aPizOexldqVEbk1Kyb4n2rtsh+mC
I265MRvg59PQsKgufbx3mhY2XarNvIqj5r43/ZC+cry05JexgCpkaQ1oAK5aBWbRragOdsrCLw3Q
/25kzIFrZr3E6K8otyjgzGOGcmrT5bCdAYnJjUIkIDF17d1oFIgacmycJJDerbCObR4JCxNmxbNa
rUBsHdPYtRw7eW9Z+VSyCXWx15dVuXeKyrlXqcA3ANyOS8ztghEKgiyhyeuA1fRaw24vevzHPshI
e9fVMiWmoCG2S7aEEpNEwd5DTmHRFz4L34ts9bOoakuPKeRNKgn3rebyjrpd2VCME3rXp2KTdKGy
x88G4rlRA39eDbdZQkRxL0aTimPdrozprcaqd08hs5whNoXTvRK7KwG7u9Xxc2Urz/u9gfDvycUv
JxcWLUy6RX8/udi8ZP/9/9O39uP04o9/+L/C9lW6DpfFwlBp0S380/SCfNd1aICE3eHUyv/zD2E7
5AGLLhg2QySDtliVev+YXsjfGNNbqy1Fmvw51IT/wuj9U/eL4f9qiVFxgMKndD40EGPTgD8AyY+9
MPpe9tW5iC6VoHusI/xOhvGLqcCn4cUq06dTqdNKxHAqPvbaiNR2lqxTkeDGu2Ks7wcDNRgea97m
y3QiDY49jx9d/KIJ9v6Hf2iH88FcZJNOKTfAsT8IH6uikeyeqerO83BWTqylocFJv2EAf96UtZeK
ccv8kYPW6vtswpmDK3h8joORv85pqf6Cqz89Kn/RQ7Y/NcvX74SdAM0DjwADih+7nPSj6tqxwNLl
phj8oUJzAF9BeCuCBZdqghqsAHrMCmbeDlr9ZJbhkUtza/QDpDcVb/aQdS9VN+u7ckpnUns4ozhp
doLABbxZyK8G615JrLlZiG8ZYiuKrWUXgnC+JgYAQRWkRt/kJAIuoYewleeuEMblAH5nUobvQ4nS
bjaDh2iQ57ZTXGkIMtwpoC1A9KXNzqwd9ZCbt4QTIydQ6y6EquemGTkdo/jbjh3+Q60MztNxoslD
ziapPGRH1YKsJfKZGE435609Z/thIRM9n/J9I1sVZTR+Wzur6VksOBXirPIcBlqdg3WAhe9cSW3f
MQgiGskCctWsmzfOQvkX9VP2iwf2PTT3w4NDsjfoEIxlxD+v68GfW9ECk/4gS7xGSruOjBxS6wvK
7u3QDPVu1gX9pWkCrJA3XBXQmxd0jzk0GYqfRe3oZQb1U8LWsjGUpPdx9+OnLDqSqOhoesQc03EU
mElKURxCQThijbCqbkw0duNydJyOuMRoJCWjwe7rgOH7P7wYBJ2YcKgscuAQAf34+7pOieq+qVQ3
azhFZoW45OT/oqaI2LocM3RjCY98ti9k33ZbI6F/YjPBsRSSmtHh+RCTl19Myj71x2EfUsUDKTDV
VXb04RvlFDJVGOcqOWnmWTXhJqbTehupcbLRwvTbz1/Cd7Xrx/vLiNJBIGLZTAg/rEhlkQJZb1pW
JJmhXZg0QN3l2VhnX1rbfCScaPWdxde9UpBiVkg6RE74OCet8I0G+LSRptcjDgE3AQgZxmBaZIXX
oEno/kF22SyVcSU0sY0T55hkyVMz74swOiAp5O2ORsCykqdEn+/aaXRcuSDIJtKp9rKJIissm3Mj
Fi9dmN7RU49AequUXARduEWEmgRlSneuW8UxGgfsEWN4+fOL82m4pK8qcdNcEfk6svEP1wZfSZeW
ElxSUHbXVcJXVlL9mKhAWn7+QeLTiOL9k9iJELsBI1gzgf78lqE+ZjmIe+GqE7rdsaPKL4Zm8oKZ
aLo6rQnJ0tPrLNC/pQBZUIFmYvvzr/AXv5UnDnU8YHvn82IshgHit8liPAMr8XM9/6bW6s36iT//
nL94uiVaBVZf0oWYBn9Y9MHqGkiNhwH9a7GLpvhSpNMptBpXGM0vDBafo4wY/iKwR1lvkimHyfXH
q9r3MpspP3rMHAg8yd64q3ogZ+sndzU+zybZl+GwHUL4Klg3ce2TbC3bbRYq5z//1WLV7/3wmq2h
7ypPE1HzBEJ+3H8Ju6YJm8aDW/WA2MDYc1hYgz0KeZZnqJumVNkSTe3LkLPhkG7b4nf9zd9OMD9P
bH/8Bh+dLfZi1tJpYY3JmE7XVE/7iqBavaTtjdcez7qnmPO2dhhPh83TRGkexE8/vwrvZO7PVwFR
BHpL6jfjw2POIHPpOkKR3BS+gN0HdwP2PY6zT2U1RFsQzNVGz+MvJbVXPohXyLTbcdQew2U6ds14
G7biQdfbM0Y8zwxDHsBjX+s6P6lolot5UM/g21xEQ/WLQuVT0bZeOeomdkGDd/M94/NP09gidNjX
LPp0k8BTNgQn/GB+szjbSpNMXpyj2X5ru/rx5xfr85rw4WM/rD5JV88hXYfBzcGRMozgYEc3ZlZW
sDlNi9gnG2ZbjcMuown28892Pq0G62fbNlU5OyLG8A83Sia0OBfBjSIli0AaNDZCFDd9y9FvwnBX
UOHEsbwWqXFT1d1z75RvPSHz/ZoLJmdlH7JIkiyas8bHRzMpDklNT2ihkU7GlTHFj8kSbvsidHMl
++rAkUCpTZMdWhLn1HIXksGHevLFIEdww+E0ZygXbVOneUSlBygvpcFpzhWcVye8qWL7SnP6/rvV
VOeROtyv73cS9helEymwi9uLRpRM6ZECSRUbdNY2GXrw7M4pVi7VxCk6CZPzzB7ZiGyUpGBNv3a5
fY8P1lNKSLxp3J9wHZ4MGjVjmz21FluRipyZEISJpgoJN7tGMK1vu+c07w5033aBpjYba4n8gtMF
06bpZqoh8hZJbXp8C0CqVfRowaWiCQWVqY3YXX5+E1eAzqc1hwJCg01N14lR+4/Ln21zO3B69dDG
MprhMaReY/yWLfpLbYd3lUTzmxdPhvIwLu0rEe0nJU8y7OoIAkHCzGlBJEdpEEg4XdltfrBD42CZ
Julvyyq5WqAbjq0n8m5XGeP9z7/7X62XHO4IzZWkCYBw+wAL6MdocOKINDVZ2d+mbgYczFQ6iM7J
znWZevsJvGF+kz9CWbGoI37++dhtPl48xySI7z2fz2HreP+Cf3rpIdIifpUlH5xZIBdHq58f+a/6
FT23bNd3a/6VXrTwXupAa1NGmypFrlUil9nWORpv9JoDBHhrBcNr2ggjfgR8kIG/gn57oK1oWTQ1
uuqZcwEnCg0xhOWW4K/5K1Yw+YGZq7Gb1ys6mSSR+dWoavULcWpw65l+qFunrjr6mJM0z7UVcU9k
TXZI38G3zjsEF0vGQGj1ysaFFULK28rLdVZyLvE3/ZMaj8qTtnJ1oRIHL4zh463zjt01gBAVGI+R
9rnqLMElh5BZ0m23Enurd3jvCJ0kBhK5Qn3jd8Bvn8qlI+adP2+8I4DnBnnF2tsT+2BlBDPPABdc
v6ODh5UirK884YTEOLcwgiLdEYIaFV69soch/DG/tRt9uGd++9zlQjkvm30pcODElpN6ptKk+wBl
7ePQceioVSNBxpyRJh2CeRMJpyimzm8LBK+DBUKGinPGYGXlmSutDsVSnmLm4gilc7qh58wII0uL
fjsCS97qaLNxtw65D8ppI2LEV9FMeB7Zqq5VOtqu6cZvS8oLDvX7oITJcoM8o8A8ri9QVMrvSxt9
RaGNDVbeYJA3NpW5PDmJdVE2I1OmrOl8VWvsnYUlbK/3ZLmGrbqtVGwusVHswFSfUe7iPsKdshFD
9TXuCTILicH1hJ5dN7OheEY/plv6GbWbBtoXpVHwV9U4doCEB+5oxNpmzqDktTAKWybrBa5dXQ3P
VAeayzhPX82Q/Idhlhy6gVFvkrBEghAxFkR8tinoVw8Kk4KSwd2g2X6QKoBobU5FBriLbT+KR3sg
uQAirLojqJARrtC+FFbxjRDInYzMeWMgfQ5qTrGDoem7MJdnFjEYGyJ9CFka48TlvN0C/iFXuTNa
oFc1eFSa73ERvYDUplORpLeRI98WNdpbZpBhOjOesq66syO5eImuPZrFeDebdBsJkmTKoNbJtp76
4ZBEkX1myhDJg0OIIxtY5GqhnW7TcjFRpcIKNPJJfVTrrrM3SCYXugxjcKav0ycCBiveOAQPPTwh
mHpdQlxE9BKXveZHIc8siZL4IbXpejCRqqfzFG5TPARHfarrTRJ1XkNG2h7w43Sp6HYNBKEL/RFB
1zl2crBXxnu2MhQCZRP3JtIVlQ6z7sWWRgxhYzlEDQpcFIhFaQ6Pk9DPyZqKVovSqgMUce4oW8BF
JEHzoxhoJZk6XNdzFx5LksFbD0RvOfh1bLKcN0tqIFDhOlSk32a492Mm67y6A7a8jdZHMSJ9rXDe
yIQUGKAWQJzxEr0GPTMQD2yT8mpC/b9Ne73gl2DMYA4fTw4CRtQ1C0Sz4iwtaCG5Q0cWSxG2e+6y
fQya2MTBvzZ2cJj6rRkuXi4aV3KGdIm3enTURe7tMlO/JIk404Ph1Vw5Koj8NgGhgptltB/zVNwK
KCYqxYWvmVgGtHbwnXuO4NQJNlDLQV7Olei9WUaaV2U6MR2AKj2ZkBRsFYLmuJ3jK44TWuf5cEUU
4kO1pKaPuDL2ZOfEPtMOg/LbOnZD9mxHJCcmHDB3RZyfGxkoAkPCDDW1Hff8roRwu5EBghhrWfqb
QpLUnMXJRZJ36kpX9LqUElYs45bLurfi7GujWZdRu7hRrdJFb+J92ptPU/JoC/QBcNTctjAfaCs1
mwKZEfVMdpWPxrnd6j4r3AOamjOpkykQhPuxKi4TLTtBZedxDRkHQ5jpjXNZh/c8BepmNAzsAfrO
sAIMpMZ9MhuvzqAOpD2tGVkVX13vdkExbYdyzpj4xjvTXh915zmr673V4w43QpVrI/ahbNPzOpSm
NzB8YY1+YVJzt7Aoj0l6Po/TEcTONuyns8hhAon/srZw/wwcY0gw92M5vLIXsiI1N+TIbjJCn3GY
WKYP3eHk1GqECEDs2nSOGZYpCEOq8ljT4hm08FuQ1xVw+QQiqJrtKraOScxXZd/dMrg8ouOhXKry
R6b/a+b37YzjAWo+i1FdareWJIA+zetz2aQ3SmNY23YOH6Zyeoinb5O86QzqMPaGvtpB+IaNkM+p
a7fGW2HFhyBC2GJCtfPyRH8u+nkHeeC6zrvRG1qWNLvRbkS6JMfYEm/qglPKBLCZhap5sHP7CeRX
5JLl1tXHUguGyzCfzHK3vAvHJlh72nFxMmpeo8G9K95lZuJdcuY4bWE8WThLe5nWd6o+aFc5AQuv
5FsS0RbPyGsIqGXgS8u8epz1bkhuZT3RBxWFOp5RatjQOUP9Ceej8pSXhHe5zlAD4odQlwW8TPQc
3EjYVBqIoWv1js23Utb43lLdFrpc8t8rqH9PTX45NaG3v3rO/35qcvtCGfIpgev3f/WHWxGUPYTk
v8qIXilBiBUdArZAi2prXfqPkYn4TTBZYJRhkptoE9D1vyMTOM6r2x2GkINfERTQv2T4QKP7sThe
S3NsJ8wSNFqGHyW85IgoM2o3UrfCRbyhqBIPoa1mFyQtW9f01B4nOVAY44Wu3ThhTtm2WQVia/WH
ZXphXqoyaYFTaXK8g623Nvkh4hxNVXq9pnX3SN7pgGlNR5GdO6Z4y6uUHcNp0+/YtjV/RAX5pY6n
8EAjZUDEqgYYx+xK3a9qzodU5PFZW7Lb8enLkm4rDkiF2zm1cx4QOLFri946ae3Y3+ZmG2t+axWo
SDmISG80THQ6aU1yxGhg+GtVffk2WslIxB2T9BhyIjxadeb03SRE6+T5ldPBEwrZ3DigVCkLZBDs
I8tKKCAmyF2YFFN5kcfVjM6jpM22iZFHEelVDJU/0XN/RAdzFReK0P2kSgn7kgkpjRvGv/g2aSzA
o+6im9GM9HwTq/leK9fKYazTIvImRW+/ppzXH0Rq6Sx4uLf3VcaZeeNkAwP0vtUQoRnoc9D4ICEj
EZZqkMyYwdO1ZtplcZedlD6GB09q4qWiysjVk/LUNRC14z79Puq49+PiAhgTWG3WxyouT8PQ0jdq
CLB1REOolZ3Hu3GxD/Vomy44CXpp9f+wdya7dSPtln2VegEaZLALAoU7OH2nXpYlTwjZktiTwb55
mX9Y03qHuve9avHYznSDzD9zclEF5CATadjHOimdCEbsb++14xoaD7UhIYn2SU94khII35sT6u3g
AK0OZHqKQ1keJnvUMatYHv8PcCrr2nZvCNe/Lwe90KED4epaymAA0MlxjdsPtT9JvbIdanR6YbI1
NjLBmmOU6bRVpubeNwVepslv8kvBHz3qovdeq0rJrcw04yhyX7zCAirhJhUS4qSTZvlrxCV/gaTQ
3rXAYpOdndQeHZ2FP9eXO+qJ1GL7QoaXSOF57f+3bZTzF/pcqLGKgrCp/+N/fv3CcyXHD79Yn6s9
btrXarx9rdu0+TY0nf/kX/3N//H6FwtC5vnsn+2B90Xy3PwYeRNfXvN1B3SZ/3rzIMSS9P0xmvk2
NKaZFpAM0QiCYF9aa3/fAfV3s+BLvsTkYmbMgsjvM2NPn/88AWsi3roj/s7M2DgLld8LmYytbXOG
qwm8nhCHf5rRJEXCIEvlahVZKopWZN3mkmy2K8jX58JPLODpKS8Bli3aKUXER9NM+1UmLACsWaB5
ax/aCY494NzJbVjlIAGHMagPuFts7cqIpfNCPmCiBbZzMiwqJsUi2bmctPEbYBBSs/zPfWYRim6A
sKUsadaUVATCzcbMtzU806fGIB/LXxx9MFG+LzBVuRTmDZKi0yZ21X7S7HIbKly1jeA1IvCCdejg
O5z6DP8WKbo1/JIpXLYaFwrFN/izVTCcpi6e69igj76zpfzbvZ2mJnqsVIVHOpwadcPQtRPbIY17
jdms6z/llhU9gljwT1DbePudLx0F2KsP3ZWpMv0tCAf9pvfC6S3DYwYpPdVdql9rWpVaHzxWUpXT
PUh0QTt6H52saezfJ0WgMiw4rfFCiKqkg9xQt5m0AnQ2pmsXbZRfhyIorLU3SuC9o2iLelHZZnup
20n+4NssKY6lXnWBwiuf8iHwkCFibWZA6tTKJ6bEJQfW1Ri3OIrki+T+eByohr+JJ3rQScHb3rKw
fZiLeoZitA56RltUmOfpbW3F+KY5vQdEe3t6E6MqSuFOwAejYSzQYafoY36wAre7LGBehAttIGl1
wFxo3ZIrTq4cHZ8LJUhmdSymGpUw8Nzew7JMaGHbm6qpVz59MPISEbqaVpUzMrnG51BQ/1SX036S
Sfxix7a8L2o9owCW9sohhA271aC2hctEz2N9SeEkG2wQNdQGJA1qSOZTVr9KTUkoT+t7Z2ujnxqA
aBjyLrQpIXetaEQx4cvMHbbq3Gf737spfr8n/sf2tbh8zl7r89b421b5ZXP87Zf/r+ycFk4Zjlt/
fHo8QvZ/raIf986vr/q6d4IupxuDgCzSL5MWgbb5lXVhATWnH4TGwjmWOlckfTs9mt47IotMZXSE
T14zdy592zyhpDv8dZwqYZVx3HL+1uY5W3d+0KXpCDdtPB+8EewUpLJ+1KXhDESUasuQuXqb3uJA
42jiUTiVvq8GZZ701JgCak/bYtg40Ezx4ToCaZGgc/8em6WAwBQIRB88xIG2avshRVLvCW+Qq4/T
aDNJeBILF08kkaLGY5mW3HjSNZ44igKTJg1GLINJjwjUlU37vibQt/O9xkWNgv5SXSjQCfld0Fot
NpkgD6OriIRzuimGHhuxiB5SORcaB2btPCiqONIToU8qjwEY0DURiMimCvlci0z3GhXJMHmYFGQx
XeHruk2oUR7NWF0kHHnEAZgEg956qmT6XJwLmMWIuXrpKHqZx3NFsz+3NWfn4ub2XOLsE6wG/1FW
BEomLEXBphZlfBXTeJde+MJiy3G7rH2r2nmxao6obzmK1tmrFWDbAF3BM2UVhtSmL0ZND2+7PHNe
bRNulBfUxYsptaTdEhTS6OlLgjrb+PRQDFsceTks2TkrkkORnW5q6WU7+tFdqkkw4l/Ehe3sdaiJ
HqmnoiqPTurpl6Plpu1NAeSQwllha96h9OxPNJvQBaI7KQgJO4OHUE0a6patN7q5cpkCXcaG1Qan
Dj0zWkSyNmsqnmo2bCtFbAMKmPXXgSWH4aScMGuuTK+3r7s81Iclahmv4SfTtOvWN4j7/LM9/bWD
HWt2Ttz/8fZ0Gf3nv15ef9ydvr7o6+5kv8Nnw27yK6XaeseEFceL0HEEckll3/p6tzUlldT0GjGK
/A3f8/vuBM0N28R8HvvStfrtZPvVhMbW/odj8l9MaTjkTI6OaL7M6blg/zR48sw2hkQX+UvbSTEb
l9rYZk9cCOJuY9M6Y1H2TiVaScP7iruI9LZcahkLWyHzw4Vl5RxI8BRR1BmILrOWcgx9CUF0ZLcx
UcwPVeJXDN7cidxSkEzTcErnD7J9/kxbNMAwIoUxX6/78+eeswBrQM7LwTmvjPq8SsR5xcTn1ePP
C8mjjuHE4J4IhdPb3jXW7jBYCJv3v6AQcfhojFHlnyLyg8TKhM1KyzBJ16e6LzVWa+AZ91PhQBPr
IgMzUJBruOu7tFgXmDPEfaCmQe31MfEk2Xbb08gMpjZ59qFMdvlE6RJ5uRgqtzGgyQPhGrwD5zZh
rFvQdeZ24FkVnTx6qO/xIEiNeh8K55aw/+WHIMJfSKgA1CrmXskW2UR7q1N0Utr25B6MyMQYVvOt
fCo7TFn7fxbzX1zM8gya+uPFjF7/i0715TVf17L1jqsYT3AK2TG2wLD87aRhcJzQWbE2wBKY77OD
4NtaBkyCu20Wt2hX4bjx3UnDeYe0BesaSpc1m4//XumK5Iv8cNKYgShwXPWZOm+BY/jppOETrCLp
Rol66zAhPfSiUvrt7AIsjoFss3meLbtsJYKaB24IB7JdTlPKvF6vTKfn5hbBmx0nM7gYy7xul3Gm
+RR811Z9kAWnEXJ8MYs57aYMMpTyka1lQBHJaNSmvs5GLUPMiWRkngjMdd6mZxEMyzRMEv2TIkXp
77WB8P3asMbmyvGIJ1xpTUY/Wcyqh+aoQjm0+zZkprFKYi1Z0mo6uR/FOLTZvierx3O3souMJLgI
73sZF58iMVgvWaDHwWXBs10sxWil6EhUK4On05tRroWrBtKWScyExoxkdqO1jX5TnZdWM68yzmcs
OGdeez3z4QaWdTveD+cVasVuuIxRI7otTmb2AaJZ1f14Xt7dealT/MSyV+ctQMy7AeB9NobivEnQ
SpXsVNlJ6FyaIdp2qeP/UR8iD/z+KRLh+FbauWw2I5t98Ch89LFNlCYMLQUofA4CBF6tTVTEVNOn
NXroPfzKfN+kHpmw0mwIO0ifIKXK71JuyphG9daNllUSFOHSpe3pzRvpa6Kht3DvSn+spyt3ToPY
AcFEIuU4SyhXKZ8rxkEtdTxuULNfTrS12bF1WWeWc0dcPripeBAcA98wV6L1y1cLNf9ZZWNApDIb
AWGMaVOvTfyT3YXtF6HDE4KLKFT/Hk4Y8cWG+V6cTRfjKNDk6boex6VMe0sRU2VeuQGJTA0uVZrO
h0LTuHgFhhHym3Vsc6tsDL5PelpN64IwXLdwvMGaCK6VrVxE9igJv7R1d4CJGVyUZPz3QcicTu+t
6ejYLdWcXuq6y5yaZrkKSf6Rf4x03DJRy41z7SR91900rqOt45mg6Dt9Q/i5a4qRfmT6YRYR8iDl
I3yep63DiZC8B8nvkB8P3V0VLVraeEFrHPhSuheMjx4lm4c+qOJn2YimWNWxxR0VA7qbo+NN6kTQ
j2+fL5WxUaVjRYukr7sby54q2ORJwOwTj4XxaroxU5gSceFzEI/xwUXifbOSQqMbp4KksfJbvyIx
jAB8Z9banCpj2Inbx6lDuh+yfNpG0/AYTm5w8qTTbtoxC0/Y9KejO0TCxZqcu7hMbS7ZhLzgTfOd
mXwexYRpio4Ue98zpSNRmYQrX2vdj65fDRFlOHl2aUF0vvUMxq70L+Suc0vsNhe36dBxdLZJgNPc
Yjk5RaWxhshKhm+2h3Razawzzcc7v+qTpaCzmPF7LeLLpBr9jZDBSOk2Ec11qpWQE2Kg1YfAnMKn
wY9Looge0rAWVssoZNBLu9sU3kou/utqgAG1DkScrK0ASXURqjI+GCLJ9z4BsGfHSMkC0VhT9ttO
qWwb95O+h9SWrmyyEHRSyWDNboAWOxgghlMc9nrvdkuoDS7tbkP9vlAqXyoyH8ECGmpyr0Q6XlRp
Wl9HAS1OMGAqJn4KMt4HPvV84HynqK79cdKtVWQopz66+AE/N6FOVkiLQ6Fvm0gan6rexzqsjJoJ
tFMbob62yGUzK6Xx8S1lDSswFU1fLgLdmilTfqf3gOc8o3sKQy8yDopQ+oh5qROkFHs+69u0CCdv
bVaVC4NPtwcix62RJctplNr7ianBtDVrf/pi+/xv03b//5Ux5iP/nw7BLl+7//rXa/hzcujr6367
KhiAzXBcMr06d9r8drywuETMAy2O/gRpfrgqeFwVsBTwKh02JyLH70KGnMdgLBDCDJxAEIr/jpAh
f86vIMYZKCwEV1AzDP77Jx1Dqmpqh4ghjLRr/8Tde/xonE/cFOjCM7Aylxuvo8uc2y8B7GBNRUNM
QI+zB8k5Eo/7TC+nC9OrigJjkZldNPOFWkg/768jx7l3znft0Y4BmwRdPDBjSZpsU5eSm7nVdTSf
qkq+ikRj74YuwsPdKlwwKVhr6Fwfa4ocVmwog32EyVF1K2W13jFzSxkva9MfiIhXHGEo3gDHvEIk
pSZhHGwCtf5oPWYQpaxdU9biA0VR6rKfTMEjohrx5wufJ/M2mp1uDLJSbVqkeDnChe01xhZWpdi0
Zi+ui3qcKE0D4nsVMEpvl8TkkzW8Um2ZdakQ27Ez2l2pWba8jRqvv+Hnmg/7rLPvaRBO1aIhjIND
SSNRuzBbHf8QcDiwaTTAEsyAxeIjHSFoL/EFs3EaiSnaNS2m1rLRKeGuaAR5SjLPuyHPCNem6Sci
1zm1o9eeyMKn9HwHms73ofB8N/rnbvHX7hYCEgDq4h/fLd7/179+qYf/8pqvi1+H2MtZnNZEweDX
nZM5X6GH8p07z7dJEKD5kSFghX+7W0ikT0ZPzLlRQDlAfHe3kIzH8V1x3zAIIMDc/DuL/2cNk5kU
syTQ0SaCBQOln7y1RW5Xk0mUl2h3vBMaPShmIfj0mlsjJ0TA8KeqwZq35u6779FXveJ78Nov8Yn5
6zL24lZl6hydftpzjEIkaVFM49ItjM/e1GKTc/ULR1FMY1ntv8m/nDt9vh9znf8vv/tqP3HINDKd
IWfkkUj4WIEdYsxR9tELXfd7ZkkFpT71o2B/XvY8iA9652wNFb7kXdERFoZsktBtwKQBtuFAnn+e
Jpf2oC3ivMnYO9z02Js1XIqkKYeLIaLS2PExLC7mA+nVFLnK2hmYkVjiHta3BRaW7BWmHKN6l2n3
9eBERNFrrauvSw2HG+/S68pbQdLR2Zh1iWs4r63m0vMjo1g1o51Zm9b1sjvZUmM0KlL9o9OBPrba
RL/VU01PVwluzmNvN+ktFljizr2biXQzc2+Towwj9GaMQDSUdaIpy2eLyGRHNUzVXjbuVBdrQhYm
Ez/TBP6K6smRR+YAtI4+90yKo+vms5mgvS9UITGt172bbAOSBC6Hya56xWPc1Yue+H26zxRAMY5n
PbSqoJ3sZcEeaV84eUShi8xoFCCf1jk3kZ67T22dwROAvZVdVIEZPFhhwgMlrryVprX5gXTjbNaN
JuTc0LKuWkNRv8z3JssOmRaJuwZAwWfKwUl15b5F1MDU2UENk+Y16Cam9SVQ8c+x6N97g4CQs4j+
eFe8e87q9uee2y8v+rotuu8gwUqkEUDh4ssO9/twBzcOv6nb9Pmdga+/W4PYJ9k0ydsKCIZzku2r
fIo1CEslliL2ptlPxI75k1z6Z/KpmMnsP0guwI/mk5qlz0xGaf8cM3K6Kolb9L9VP9kcUvo0EzVX
2j69Dayg/OD0OibwkOnnMQyc7GqiBMzfe1DB31ruPu9Ls+OqiQoLX2Kgzx35ZUCs6NKou3R6GAIL
eR7leiMgNoBQ6jqbJ71+OoY9cEbmv13UAjNyoztDST+6sSyG1JtwUsyQLb3JXsaiHZ2DT3UfvIRe
YPgVqVWfcvzAz+AT5pMRfevDwocMtetKLLR2XzaM66klgkXmXgVa7XCsc21jkxpa/d7PY/nMJOsh
sCBoN7UFyWUaMNqX/nPlmtMKD4lxYSXjNsa5c4+DtTiWuoFbdEI5wI3MlFqWxTPFN+77Iiy6HbPY
CNRQXYCGa9vERHDOnTCBZwY1UUtoOwcoPH8rmGfv+84td24JHMSpR/vIJaZ/1D3V48yB49hFqtk7
IWBRsGvNUiQZeeWiMuQpzynY9kv12EAQ+2SNqb9O6owujQ7/PK2oZXtVFXa27GSaQWlJq3Xi1N5a
cgjjghhTnsoBe0X5FbmM5qWa/HjDlo2Ti/PhiYKFCLpa3B7mkdRDXFgRdoIw15a5jN5AaeqfUsPC
olv5PUKAqfU0ASW0maPNaBuSCLSftJTeaFhBN7E/RTeTkUkY2SE1q0ky0fWrE4oACGLxb4QzQvsJ
3W6bOrDLU0w725VoqCHLMvveckukhGE0D1GAtSsoDXeYE4GGdq+1WEwXmRsG0a5wU4btVmbGHD3D
YMvjPb0BCmQ+0EzhbaHPSXs5Dr4D8BGwxkompr+JNZz5a6J97oHOiGmPoeimGUuoOp3eDO+jVgJe
cSqYMOtKFMmmagJ3i3rQJmuVEh0GUdb5m7ABMZX0U/ai0c3GLC8EsyjqvAr34M7LpdtNxdYsTO81
a3Fc0FtsYJQ2Idj7df6h7MbhKJ3kkYLMXC1dV4WPZdgNH3r8px+4WIUX2JtpGbc5La8p2IBghJ6W
rp1Qabukyk++4fBW6I3uZ4uXlJdd4Fr3EQf/dSzykvSPHerLiWKkmzAA+6bVErjbEMwOcVIfORnu
krHikDQRkLDAxoDvDFyuJYNPzKmlLo9IR+Ve4niBEm3wpMvD9AYkC1j0QHkHcJpw22jFPsamlfHx
woGhVaJ/3+V5CB65zwV9f2gA+0TkaBEEttcY4NWLz+NQ3+oV16+U6nbU1s7Exa3or91MBNzCl3/O
83/tPE/ZuvOnF/qL55x6pJ8Gf19e9OXJRcElR2WbAz1lGy4Qit8P9DzTQMF6WFZN7KRn78G3Az3D
gpn3zY2dQOIXx8K3wR+VHi5uFkxi8MDhi/ytA73xKyaWczxIDmaTusfD9dwb9V3iy+HWQFrY6/H7
YPODqpVSW14Qg8mofuk4MI0wlamBaaPyiYMgn/T5LOXOp6rifMAKgi4/uPOpy57PX/V8EmvnM1k2
ELnel6bBSW0+s8nG5vgWpej4GO4n377oU8teCj/Egd9GKqmZXetxuh9xmVGUN2rVa++M8LfqwdfH
PVO8qVsVjkLabBvFBVknNBXSdVn0nzz0+cQVNFTVYx2UhzbVPWdXQmp1ligJAVm2kDMCu94cTxup
DNeBCbYEysopniNsA8GDpXWOtokyxIFbaEa6tVRnXvV1OH6wkpRAHLvRhPfq7B+3zl7y8ewrj84e
c/3sNxdn7zloCtRHRNSmhqJF5iyZjep8eZq3Z/O6f/axO7pq4jupu+qDPDvd49n07p3977Q0FZ91
mYgr0VnqPoKdbp6xrdZMcC1nlqs6Y10xW3jPMRx9b5XO3FcUWFRXc6bB8ncChrVdpJS4HIpVUpu8
f8cXjrrI3LG4LtrUWiRnyOzoJCTXijN8NjBbNPkhHO1y3ZNmve8UHDgi+qI+UMJl3KlqRtmmZ6xt
f0bcEpADKULxhXftuzMEt2jg4XYcz4ulrsfCWSFnQPqe2bmA2VAq6RUFqRuf8bpRYjdk1GfqLm/U
vdXsGcXrnrG81RnRO51xvZR4hSs4+EB80WyJdCNNY45rZ8yvDsH2ptf19MmeKcBFANdtF57hwNkZ
FAyZr9trUIX5N/FhfV3NVGFtgi+MNQfUMB5DsMP1TCBWmlGfNE2T9LgI+ahJAapYC6EWqzPAuFHO
RFNVEVLiZ7TU1P2z5f61LXe2b/3pZeGpmIJfXLRfXvT1skA9hIHldabgoxqI3zUU02LzZEdDumRL
hn+E5+zbZUF/JxyT3Zh2BQSZ2Sv77bKADWPOg3//9/2Ny8KvWy4KKkNgh0kwxjO68n4yWxB2iR28
+lhU7ciejUqVm62QKDlMdGNaCIh4yh5vAxcDE8YpvExMC9u3zC24E/hNJS6UnMqUbjsjvjKtwcMI
VQs932VOAm54bAiMLtykyj44yEX1cuoa8eywbCFQRyAgWeMO9jBKwbOR/dkGFeG2SAtHu+iw6VN+
dzt1qro2bE4UoG9b41VWGuVqmT8A0ZVW1cTMCKPyQKyVoVsUuCXKJn21kOvOFslAn9+1bEtCS87Z
RskW6FBtNJsrcaiXGC1nz2V4tl+Onu+T5xQNdTZBPFs0x7NdE0+K+8Qum786s5uTrTB+8WeHJ34Y
Bmn12fhZykRmnOHBBKx4kjFmk5RcKjKPsfOaUppRM90xixfdgR8Ih8JOP5RqiD87zLbzJe+cZnSN
H9PTxKXBXoBkUMnBJ9zqLlu2WJyrmm8/Q62dtGXQK8WAW0KklrKzh13f1yaM5Yo6vtXoNbVYJq3i
DyKEGA9TV9Mp2phNe+qJirkL+mgBKUeVssq19Hv3ttUDSoQjwuQ0BxJvQ93TH+IAtP9i/iuvsbDR
g0SQF7QM86DbREzBQ9mF7ZFt/t7sAaQUeFxXZqL5OFPy8sFt5ItRu9GOGlx775kyO6QmGeZJr/p1
SODjYxj75sabADwTgy3qFcmrYdq1vl+/B2PuvkkLqu0MV+qWEPaSfmNbufbqyF4e9VHZICAgm162
Mmicrdu0dCDGfin9RXUW1tOzyF7Mert1lt7jcZbhh7Mkj2yEPE9tNVJ9fJbtjbOEH89qvjnr+m2m
Ww9pM3tzXG/aVU5QfKoS6FWSjw8EE2G/DrNz75+99i/utUjMf+pre3j+SZWZRWle8WWjtTDC4GjF
r4n6gld1ZoR8UWUs8Y6JE6g6k7zCOZfw20aL5dZ06eBBx8VHflakf9tosdwyDIYE9RWM97fK213z
Z9nYJsLAPybkGZRz/DA/jqqoyejCsCnhWUx5C5nDk+p2LhhTm36MxYMK+5msmhBwX4T6OD1jb2P4
MnXtx2mcioxBK+SgReJOesmJM2HGbrqAgi5V4AwcNN2EvD0eBJiXFt+G95PIqRJIJuU92uGo06Gu
a/F1VDXMxkMP/OSitAaqP618hPKeRpjUijYZ662tExJbVO5rMAI+GTVzb4JvF3n3llrOTRX6N7Ui
Qd/o3V2RO9WCGNJBBvVlGU0IAMnWNa6H+sNsbMnremN43b1Hv/mys+No2fScbg0lrkszWfsphZAq
1Rmj5fmG5/BNZhfPBvbhXWIgTon0qbHFxajjUAGoLpeWSpKNHoxHplbpzRTR+Fj00AgaxcYe9/me
5oHPE8Gse8VXB6XTL3tT7tVA1CPro+AQIPQsgkp/S2DUrmzfPSkthpusXitXrR272Bvg4B7s7KNP
vkFl3oNRyYe+jZ9Lx4OpOt44VmUuVNPuAnERAsOeVHQI61IsxBBcpzN7SyawZjXrokxt4MyWc+nX
D8OUUbFudXeUsR8nWgLpEsmPQ9fuolo+Oa25CW0HBqCJPcHGjkHXybamDpnb3iYeJmtRC4DpCVV/
SkxXGoRPjE0hDHHDvRA5bGFTvBLl4umN8Unm2sEqH0xdO0WaQ0tEOuFpSMiGQNpdlrECmlE40Qyk
zZZaZLzkicDkU0A6yMUCoJ6zheR8PZKyX7WmOnXC+EzacTcFwYtH4ntB+Pdg+NVzX1vPqgYCXpox
P+t4rtJZ9crcj7l2WVvWtW4D78tVclWXWDIpqgcU3dzYmv0pLLG1DJa71QsJs8EWE/kbSnrCIrnC
ls5DvCE1kuwBJx+NVj/mWbdNUtpWQyjlB6dKk8+DoSg+z2760n0DCnhRK4atPSjgKbtKwQbSX+2e
CgZXF9Db8V61wMliKhl5EylV7gsPEaMvqju9rTauldtLzZEHM8WI0fg8Pt3rNqLhNUat8q2b2BLD
KqmYK3hu/mTG7RWVeQXY6/rCBgTsyuq93Tg1c9D4qMxh5HMHqNxM1EbPn/zQDQ6YMUkU2UeWLEDv
JkCSSS+dJAU+OIU6i9ugAnX6kHNCsLlJrEdCbk5iHO2k3XFJ4EIMohXLz4J2dEoOI7Nb8su30IcU
aYr7qiWsiCl003DMWTeuf1W5frrJgo3ISMGzQDxvC2hhFcfbrrzPCrmGqcRuEuxFnqwdhZMDO2i2
IC51X3kuzX1QohOcM/oHJr/rsUledTvcaenJ5XfadlrameYsTNO8aPTPRa1wvtN6nw7wAGjpFqUV
r5RwPzeduitKw1iGarzGf3MyNELwutWvLKPR1nap7rq+em+59a0wyADxcdCJ5bstLQI1Zb51GC8U
n9dFPzVXRq49ha11W2b9DqjhMRPgkstoxwyTYBUGey7FdhU+V7F7jNQLu+YLJS9XWjFsG7YGMejX
MvWehzC98sfszuA7OY0Md1TUbaxi3Kupxj3VHYTxaFv1hnjYNoiGRewbq0DDG4agBoXGHkEsD86K
h4ezSImbJ5NEB4Q0uQl0tIJGZYzIRYKVqYlPDHSw/HaXWMfoFtFoQCaCD2idCl7dtj7XhvXqy3BH
z/cGNfjYTj4s+eYYe8Eq98aDnTp8H2DW1FnMxwRNQ5ROsWzlEYiIXLiK5kMrvIj8buOI7tGCDlK4
waMRVq+h8Ogi8ZxlUpKFyMMbTRaPXU/8atRQrjGmvZa5s2qq6YGOEXAlkL/CnsmAFnwKAVawy+5t
VWxskR8JZFFu2ZP4beGf9MmB2NgaLM7Oz+RNknZ3Lqtai6KPbZthqhNvKdKJ6p0Psmt2Rhtf5YX+
OecgplGcQLxf29B+AZi8SFgm4P22FDNfZ3EfwQFI9iH1AjL3dqpPuRDbK4WFrupCbNUmTy1vzW3f
wEfASTQY23U+DfGjFwvANoBfiLKRsuWREQ4GomilmWth9AuHyjdAM9NxNKxjkGQnwJLPWS8O9uB2
i7ZF2C7IrdTDRGulxkgj7+l+Gbrr0ilJTNf2pR10t720H1vlbMdsPIjE2duQMjmtbjB6bzQzbHeD
G92mYYA5qhSrqtcPymTz5U/g2DrWSrvkzcLxyPJ1kSbuLuBHiOcL4UCnYzVsfNxiSbGzR3/rt852
UPKRaSEEkVotWq13dqLZ2DWHTzU3u5T6tQX3tAHxAE0dLkd/X5O9eI6dCycd5cqijazJtbvMpbBK
pMDDY5q4BwsRyJqSWzMjPBe3S28orzN1OdrpadS7U9e/TX62DUq9PJhVS6WRPshb1x7fS+2tAmqx
a6LgqnEGLl9gXw1vohkkuc4GhfDN9aJxqjWcV4pkMhleRmF5cGmJkcK+YRz/hj2SRuoheh398QJx
im2gP9mO/aRInnBtsJnweHeqLp8Mgpc+5BjS0/miSmhk8PqHuh0PFuwO8ifvvWncyoCuD+q8eVI+
kt2EI1Oe3KK980Nupw3SPA1X0VUV5zDPp2alJczRm4eg8uaLEmSXwau2dL5eB13Jx1VeKt88+rG5
0buEK1dT70DA7tqh8FDW9QNlq3JpJ/qVhIpXBFO7ccNKnoRVTtOOJAIT59JQUbgp4qkcrvSpMzAi
Y9J4jJTZ99tEm0qNmwv6HGinQlmnkpz4Km7qy8SonI5Pnt/SRseVkYp3fDoHy5dkPYsGPuJlN4RQ
cTyLEjRIP3iJV2M5Zus8xC5q6ZpOr55N6/B2zLnvOQE+3pWhhWEBTScZVy1RibshVWrTxAmhIyY6
+icehIbAtpd5J90PxnVSsf4hC5gHLAdUaLhC/8RIYzx1ftkaFypv6DUoNfmGmzEigFRry2jovXWF
5A8+pSRh3lQF5BbbhkYTWq1aGUEffyzt+Hlu+9mC3YWoEpt4dAeJgLisxt7YDDErVGfE0CwrNIFl
3mAmVJETXk59gVmzwLgEBMYxiXdwjHrMqs64TA1pHjCVYjxlwm7hAMWNJtgRg9mp2/MoX8KsiS5l
OSdOa53TnTWkbw5DKmfZxalGzUvnJA82sFVS7VpQrtMx8j9SMQJZyIjG2zoKLag4GKWsJsiWMKJ5
29xxi6NrBOrKimXMh6ylUmup0dMwbcHGZ2u7s/O7AtHnk+fr+aEMnXDY+pXBkIwrN9/U1Jv/M2uN
y2aQxd5FsLzTdFXtak6CE/RFu15VHfpo4OTsExXJZeG79Nz6evYWDZiBxQzScypg7l3LIU5QvbGY
2obCs3R0u21Nnm/tijgirzJP6PwisfZ4Y/hDjW49D0UVXaqRaWU0elA/davID12bU0oAwXiNHsSu
VikTtIGF02E4QSKdiqUB5Z3Mchn2yORVSniQB0LLAwnWMuHVEbvfjalzoqCjLMETZsikGzZmZ6XD
PNHC8l4mTCFFUe/yruklpEglI/Z2G37WoMdN/m+Anz+z9xgkkEiShs3eos9A3x8vXFz2c380fGcl
7ZbCpMl2b+zJpIKuq8bV+dL+h5GlX78UIXTpAiM3oTb+GqdkEN8YZW2vhJM8G/Z09NPozQrCtz//
Mgx7fhzszzYBkviYqGAJGvInrY7Io9NIxHDmDjR12OQf24LU3j8CxF8TICwwAtzK/9gZ8p//+//8
r9f0x/na1xd9FXttDG5E53SURv0Hw5wp3jFu+zE9922+5r7DQ4IlFtkCn7tlI1x8m685QGiA9OJt
nf0hjv23Yr/wF37+AJHtY8CmG/OycHCb/LgkWr8vrCoBLiB18gJokKeRc9FSUIVzWZX6+wmfLHU4
JQ4KjOKJeMjYDJeJlgzHuHGHNTPA4NUoh3pZ1/qjGMSwKHID7S3Wgt2QhfGy8PvH3LSatZm6YoWu
uXNZD2+pzdWlQn67ZQW+GWV8qzuaWQJqmetRQkJw2BDRNxOVxUyjGDsFKmBWxEFu9X/ZO5PkuLF0
S2+lrOYIQ3+BQU3c4S3ppDtFURQnMIoi0XcX7cVialBbKat91QeGIlKhyIxM2TMre68sLWKgzuk9
7t+c851URK+O5EVCK+JG20LdxaN5P+IqWrchs04trMWJWvQuqREmzKfBV2+d7V0byWCcRNaIwJwh
Oltp8jDkEUWQQBcvyQD/AIGqOKrZS4+zFjm3neDK1nvaOtQJok9lVj5CRr4iSi09p70mIWSBs8lM
W7txQs5s28VkEuU0dOR9OJumd/ud7iZPdAJ7PiD+XuXNAzqOT0VJ9Jky3duiIOm3HeRGpc3FKcsv
JYfKmjCQWy83wsAIa+2q1JrmhVR069zOhXMrxwZWKoUi9iaturhjlD+MTLquOzXJw1hF22nBQQyC
6zFhd0AoyiLayZIFUokmA/uFZwACTAp56zCXwubNMOE17JTCY+Lf04NMq77JFiHOFN17Rc9pF9Vy
nRL/BfZ2BK5FlHt/KkNHXsPXtNYQGcLtNBR0MoMxQmXtif+QWVY8O8yCVn01y02pR7wXHhMtM3Yh
5uctoWxkvHunCDGDLuprocfznj/e1l3d91u/pbGnpB5fKYF2wnNo+VwtNg8qt8XNHAnk2o4/ZgHG
rcWIXkGGHBFCBlXmg4elThq3yejyVmS+2iwb4D17jRUqKO/gpYqUsrFj3IT3Y1lBFK+Z9DzIyzJ6
rDTEEkM79IHupAUBa0bH2zPMG+X0M/fRRhtJsOcmSvTmIY76MHAt9VHFSXkzuoRqYTNCt7LFT8TR
l0dUmXGnZVvHKTjzoprx/KCEeRfnM+1imkXe1vGn+Iq8GmdXYv7bYa6BA1uKwdmEnuw/xpmW3KfG
YNzO0zTtWd84H6Ri8LkaLOhybnzdJUTWE+IEdAjduIWkkwQhSWWbwRzCtORVZ13W89lMZ9fbjoDk
7iCmtrzjRoaYKnE7tixVaFZPUdPnn5uM8LPI1ttn2x1QaGeMGuWa9Xr1pW2rqd6pClnS546Rt7ES
fqxf0IUUl+jdvdZbDlb3lqRtb1MQrVCsexXjdrOhh5iY5dw4ummqxP46LNa4qG/i+2K2S9691oVM
2EPoKA6kuo7iqcwIt1thKiqNFaIfEt1G15QFuPtk7HZyGL1Pqd9U0Vr3DQh6USNrAS27IYLRyCUG
oSiUA4Ea9mRGQaGsGEzUGMt+ZQ8mP4wtAgTYKbEwT/X2yM7XCZfdtA+awMcyJhYFsWayIZBFDC+/
tcp134zZ5wQEjXcT91UhthIxm32J3BRhDnw5ORFzybgPbL45xRc0YIZ/BXmrND/ApU0fnRAY4+R0
Butyl/XbauzRefJ19ACVYOaCe4h+P0lX1F/NFMgor5iWsRbZaUWYbL87rP4F4fI7zJdqyNUX74Wl
/1A+cCnvI2ZzPFivS44zQZUHvaS1SWpdXQ05Xt+fryROyYukIn7rfiR//MFXc18V/P+X/+Qf/qD/
nPAl0iz+EiHyf/7nc5knvXz7Qa5j/nrDbysN1sDsLCApYW0xDOs7ApP4xSNJhtUF/l7/VzXpb+UE
mhwTXrLOQo1a5H0P8rdygtWxt4DFPfa+/PJnhKbofH4sJyhGTddcKMwYgH4tN76T6yhTda6urCow
9aSzAGgoCu22tuY9KYgt88rwFsEhX4Ac08tKEZ8B6aZCkF27CmqHoGHx9IEVK5M0bTOX6YxEHPv8
UIY4+hI9QnCJ+Xmu94NVwtWRrfmcl9ZFiIjITRSeIhgZkLbboptzzLiszdklmNXeaMvyaGVwzlYT
2vwM/Wa7qQXpKYmCle5EBTylCaBpwwIeZ6o047fcKxkmmG7U7ZM5wexaCUiYKz0e0YpKXaR7O+/z
M0CShq/oglx1S0Epnqa9uW1T5DY3UVzYaFdNzbpr07Z+q5w6Lbe2lE1+1fc9pxO05sVir0x4KSQj
ojhJQjWRnzsZXKGKqvEfXKmYzHoscnDok07dYVuFKbcGTUwmLX5fq901WLjNdT9G/SdgxP49AP6J
2VPhL3mCenvf1Fo4BSZhdsQJT2WzlYn5KvwMLyh+jnNhxn5gAQMBk8Re5qHzjeQwE7h2NZth9NCm
mjNtJJdCji73wRnUifgLcooN2CwkkLTlS9OEH6eqtpgx1QglvcJlGDyhGoIij1X3NFk2HGCJF8Mr
vPqa3FAyieNMD0Df5YFpgfWcsUDf+KQPXEIUnyukkd7XKBfauhVleCTjr54hIncmoZEITnPWAw9O
zQyDBRZ2YEYyW3Yu7VWjhuw4Sa8lyKCKv/pa6n5QiFlv1BKA03XkFqLYYrpmuYm4A7YL5LmzGnM9
jbn7ECMA3XrhYFwls51dqtHQyJ+N/J2c8ulo9DK5NLanTqmZfBliyYY65LFag+98mCo8zXrfPGaa
8D6TFvepLYaSG7bWasCJzjvhtts+8e5IZX3LQ6d/jVnvrQvlkZ3ie3BPQ83bsajXvzhm/Yiy1zrw
MhrXfNiY+Xh5/NV1SW/sKx7KwGSRrM0YKKECwcj6s9x5Tq0TIEzVnaDRWs2E7JFIKsNnLSrloav8
+w6J9nagmLnoHcGgBf76o91bFHZ26e+sEEggMyU9KJvky0zY5Z3w1WATjV37OL55KEKvYRkzW9jM
UWXeSVdkIIz77NjoKbGrU0fwbgprnO0J64+phTOxhqidM8My2D+kFqILuLeOZxO9iwdPmLl5RveV
vYRNqZG5WYtj01pii0zMnFdC052dEn4YVMqOd3rU6h9Cj3EqWeTjmyUHZo6kEBSmWX6VMpoOjWM8
APy4zRNP1EE5+9VTY+v5th5re+dMzRDMIHbYgxjp1qmRlQQi1+SF2lZ7TuocI0wVGqyhnLK9rvQJ
bq3AAL0ih0U98dnku4cEd0eGpv0AvjlMA+hcvbEkwU5Hl73C1nU0OiYH2QdUxiEM16jJup05mzE2
PR7rUe9Y/QStLKavjpBNtRoRF6wJnGpuQqIrd6OssjsKgXXiW2tNz17qPttN3fhRjsQtuAjNe59U
nSbvuCiQ+Ct9g9I0U59DQx/gGJCEyKhWUJdFNEhOtymH9Byzxexa6xFyfc5ELoNLntdbI4w/o1rc
i0mN+8mU+9Dwrgj9uSjGmSqcw4D+jpGWO5j+i1k5jxZT/l1se87GSoycVGv2Ir169ZsUkDtVBrzs
2UiOhGTkq2aSy/gzsa3hxOXp7MXNZdKn4lF1OgvmGYi5qprPOqqVI1hNeECxYJPtzWyybIZ2YiP7
0c7XMq7fdK2/zRriNRbft3NCGti/GlncbTM7NMkNzlrvxu/FVK8omBrE68hSqoM2VO36Zysmi4bc
82g+TeolBxnW95lAVWwpGroGeR9tBAO2nTkyJoua9lEW7v1f35fzI9EV6g12DUx1jot1DgTYH+/M
Ga0ZD1FVBMYHf4sz4XBbuMGuXX15Go7ltnok3+zCrp7EGArrtbc3V82vBeJPmYL+YZ31/3fB5kBJ
+UuhHzHzX3v5x9nPtxt9m/3ov/AhwfqDzGPBuLlUS9/MkohMmOow/GGRAcVtsR/9VqwtdRy66u/V
gX8r1gRWIUZSKG4hDWPl/AmhH0OoH4q1JUdGR6ltUfybBllrf/x4eTmr1Cz1hnVoD3SqNXvMQ9t3
4tQYXXsigjHeGalOHAuu3GJYewjVEIOkYqB/cgeJTtnU5+poqxooho1DmfixToVIL7KoQU/mgba/
HvMQTLqIpuYTlj+QEFEVySe6+eTF5GRmgY8GAwlMq9U1idFmbe5mwojkJuZk9rZ2L/top/PTHeYl
mbOHzX0qI1Zwp2iqwRVXiGlvqi4n946tQGDLRLCQye8SqYWnInY/1ymJB3Ejzpoo97ZP7vWQxWoD
bf3BSQi9HwcTmQnzJSdMrugB05M/66TzKtwdRUcEjRGWu9oqthQ8bxS9iN96HdpxbuNZbPKLC0iE
OnS8jeXcrErPCpBHYq+OyeCd64/9PBAm3MTJlVUQZR8aBu6++Yn2HDJ5Vh4RikfXoTCussyEeS4m
lhId+0NVdxunCN9Sg9F97uY7d+r1DTWv5JKjOFV6qdbk2cZ7f7ReXcxcQZ5yJYWIz0BDTwcklIiC
erjkA6pIpalW8eLPiOhNxmDluqqnPL+phsE9jKLusTg6DiJKpYegyT12kOco16Ml5kSV4K/QE9TA
VLPktU44yzaV0bpXbuQS0VN+STvnrDVpg1CFAPDcm5NDbBQ9uKyIq/AMZjqHgLPu5q69jYc2CprU
A7ZOEuO1OTvKwRZp+3QHjBEFw717S2jJlWrThT0FzQamnnubh7wIZgoYfuGwbkCs3+cs3up6Ab8T
TxRXBhruVJGR4tavobDrzdzIF791z1RtX2mmzXNqddMmLqsMasWon8BbO+sBh/u6y3xn37JO2VoV
GJTAJfm3/VwNiVltzLbJPng4AnzWyRF7j3bockju5DlwlEIyAgCvNO8GFoz2kX1witiUEduXoiAb
JsjrZgzIjzNu85IDjPAGu/4EjF68wMRNbuJSFy+aXs76UQPdVQN7Ee1DL7swvXOwDyxq20SDXqYT
j5ANvtiPOl1eQAYJtStSV2uvFQRtruGDWpdatuKz4TfaXTYXDMHKupmOjmcR2pTbBmUqURVf8Ogk
t24DoSxIe+xdm5/v8f8j3fsfTpX/UpRQwMOLxPAfbwt2iXz9k5H0262+HRn+LxBR2CCQ2SRcvHq/
HxmWQOUNiQ8Mnos68b2J/3Zk2IDpKRKsJaPQeffj/L4uwEiKpsoxQS7x2FgZ/NyJwbP547oJezun
BhUQAnbKoB8KkiJtWBzrakIOFRZHZ1FtGInOxCpFpuXGHqeGMYePrpkzPxOh7t4khUhvWr4r69Do
wqM2dPWV3Xvs8pEJi2bSdoBsPldGPezIYu8DzaBnZFNI9zYZ0CKI5+BruUYd3WOldPyz5Tg54Zci
ex1V7qGrklNYInHrR/aOPJgDOQvWR34H49yzXqHw5Bthz8RmTdmiUsQNBT+jYShsrJwEsTJ7b9vt
NjQW3Hs/9YHL/vUzKOPuVDQsoD/0LG33WC8UkkK3uJbeGL/2MDKpvpJQe2EqKoo1X2Mv3jYkYz8U
k18ciVHbVFlRbVq7HpA6EQQUEkTzITRi/+Qa4yckcsbZanX7LtW1MKhnm0quGFIVCOp8EEmNH2S1
c4OHsL/W7VB9tKCIkAMqzSurkWg8ejV+naD5bOrCeNXa0HqRzXDFaPJm1mZYSXOsFkEontXZHu/J
gXZhhuXCubLUwNSCkd869we662kI91aSTEwupMOsXz9g0CeeAvsJ6bXxGZxbudZry3xC8GZuUNSi
EzMH5B55Ucm15Uy3XcnlNumUFugyHO49tPxtCjLEVmQ2zbHEypJYh1xFwTDVF1c5cZBmWred+vzZ
7dDNmerQ+y4HoMw/eoX8mg5E4Oi2uXemhEMeqdM2Srwx8JLZZQJU6Turp+GPsWRhziJ2dCrQGBKT
FJ9MULabGuEK1C9Q8yuZj/2+QHqAVSZrzuTB3bAMoVUlKn0XZ0sQiqicG3/M95mtriEBs6xKsbcN
N7YI25bXL5+DMuk/yiaL8RBlNCjpCAo/ITIXDWF4XUZOfRemiXU2/LLfJblq2GRZovkw9lZ+suIq
vSb2OEEWa0R3RlTSuiHEzZk2QNIn4pJnxgN8akORdUHrsIVCjt/HJx053N7BPn6w83Ai9E6moFI8
ac16QOrPCECKLuhhqCWD+CYaXHNX9ssr1E5xQfwd36+ql4tdTQwGXaRI7smEyL6yTOAGlai7h45N
dRss8UMFmgjb4mx2waGHjb5PjWL5Vy7W7D5WxXEGhFPc9mn+LVnup9qM/8iZ8Z9z4svb8pewlfu+
fHnNkz92EFzdl1v9Pu5lz0s7YLlMNd8hz986CEw/CMp9AxGDpS8nBY3obx2E/wvfSIavYPptcGIm
f/VbB8GtODkgEZDyTX3BPf1EB7H0B9+DSNgXOwKGI2cOv0It/8f+oQb+yY5AkKyFmWg/jO3W0eTW
m7thZyP0/u6k/DuriuVo+dOd4fQkkxfAirVwrL5vvP3eyojptbgz4eylch5nO/8n0bTLtuPHu/D5
2SxvFlfAgsD8/i5as9bmduD5tGZ1YXmXrCtzegFlvRsR7GQpVjq9Tv+JJuWf3OmPNEw3mrUeYUcX
QNzxoKYld4q9Xi4QNYuJlC+2b7jF/glDxlpsvX98rth2LaGzF1gG9e9Os++fKzFngAFz4FPpMJjn
GTLefqxc3Kqu1waWj/5nNkegc6HebYwpV+zyI2fT9ca0s8dZv4q1prrwFqBcbfFNCtAyw/CpShMf
LXk0v7EgrZnfuGAXsri6tjp7SdkyRpojBoSOdOubjJSELC6vzSLMgiGKxgd3zNnsVvm4z228nQjz
k+jJ7LRia9dRfGwj3Qd9kjWWjcLJN8/tUFRb3kqo97oRRfcNeruHanCdeq0DabR2wAXvTSeUezFo
cRYUTjldOVDw9K0VA8QILLSSLIjzsJCbpGJqRtxhgxm3nvTCZBpKdxRglRuuc9vuTpHZlFfS1c39
UCokY7OEGinnPPssUM3RJ/ghyrqQsWNTJuGmbqLqYxuPiOgmc58mWXk3DVH9sZYN9QRxBUf+qbzq
hmJ61JOp2MZ5Wb4SPKzd9MB2A6gGw7UiRWptZXa+aSLS9Bow4qgXmtIKyswRT6QklHcoqjgUOjPG
VteNxmEoEufIzw/LS4lE+1HVWvFg2DGSUIcmnlTAOHQ3S0+CkNwm+wohJBJSWTopRqkxs05GX5jR
C2vQ4ql1cgLXGUJp6a6LTIRpdZR9tlGWnxmHDqj0VbWHJ+I8yYKXww/JzLPHsXiN4rC6aEpZ2zlK
05MSyvyCZW7esThBITkJpNZxA+zPrXpw5TrCE4Sws1se2e4KRphJctsX/Ye4dPKdTGJvPVsIVrWE
jmV2O5SDiCIDs9Bf8hx5lUAYqk2yC5o+OUnZ3yd+iMg3kowqp/Qs2N3sWme8d8rCCzpGE8ym5+6q
56plCntfMYM9QWV4nnT10PX14nWcXgClPCfGdOYazZ6Y1LjeGrOVB8Zzg7nipbQ52y3+La8f9c78
MCrMIDpt7Wqaei9AUHm2MkV0a2ERBjndOwDcolY8JhMpQjJ3Ht1ous9zNw2cbLgrpeJtmh4kpEdS
JaoO2ojjYsAEqFTrmXcJm+SYDercyBYlp40gMPTMRzISmfjGw104DRY5sEVb8mGQ5zLDFzx1W9ee
EKvoV3LSXyJScleinc92mp8Ma4LQWHvoKiZhHfPU2fMZ2pNkdzXq4w4mClrbukDRqTPjDCGHBHPG
qIcEwxMPjGFweqx89WK2xakSBBfyRT6NTaH2Y0l6VCQlyoGk2+Tl/OB7w13K1gC9Q370muE+jsZh
18TqZXT0s1ea5O0h+fSG/C1RWspWJXpz2z4A3f0syd2efHs/MjPGd8+iMHaYVCMzllwMmCSPD046
hGzMVcuSarjPl5e30XhTJkRPqymENCU0dUaRySPC2bJTyH0LuKREDtv1OrLqbrX0+sxo9AcTnQA0
OlZrJr7Ci9nOD1bMizRKk3FNb8Ub4tkAXNpLZqJm+JtOqnM19s2qKcWNFNOwneIM02o33cdOyuZL
aIdSH+61etgiZ5J7xatbI9JddcV0PybjHcaXeYXBYU/zgqy0gIrZMFlcDTiNVmNJCokvkNQ4+nQV
m8N9I7otNBZzPYj+jhTGG0MAfJn7mac5t3zLFWLAQZteNOaPKxBTL8Uk/Q1ER3FxY3VXS/VF03E+
lWP70S7K6LogDdG3sMNm/eJh8qcXUyDL5w21sQWYIVzg+Uxz+OLi/Ax6RU5ja/osBib1QRUARrE/
RAfhj7uoZQJkGK3cJ75zH/vgXtVU36Wtu0f/eaT7XSdNdpxzPC46i1rpY8u1qrC6mlCPrKfMtgM9
C8ugdSEKkB3zpV8sEmPYz/d9iq+lMB5Eg8UmjIxzONj8pvsA6u2usdx9urzxBTYv5Cfuvl1e4hmf
1zWEhHjTjqR8ar6EWuJFuhetqsxD6pIUn2JjwtCVlP0xlvnBcDH6Iir2PpuRBk83VPGu1PHVvRc0
/89q3v+6cxLb9hev4z+ekxza+ll2P+ggvt3q25zE+AWgIAN0yjALPOkyifgG3NJ/MciaYkhu2VAH
ncWs/1th7P1Czh5/xWAf/cB70fNbYSxwfZpYQpFkOssk5Wfq4vcM7+8LSe6YR0QJKRbg1ntt/n1x
1RaWbRPBavFR9PqVOU/hPtJKysmmuKrclO4xDs9kmMdBrlsf6yy/J5etDGobN5HdgxlfTWaSr797
Cf9OAW3QRfyh5Ht/VIQyWCbmfvJnfijXozxRrhrhrkd4I0gQxW3TR9YpHdkoJzjdSXSZEahV2Cp9
5QYV9A46TYNYid/fyb/zMJYi+k+vDa8PxlzDZV3yw9LBGGuwK35tMaQPrxoApsg6k/WSPJ8Vcmv2
/QdAJuDb0UD8ZHn//vy5ThI0xr3/qYPQwpESduZd8e3iZFr1pwVItA5TI9llGVQjolx2Mkwvf/18
mY/96RnbANzwGzsOfEvx4zO2NYYbKsmNtamF1p1NvfPUC11iTmQjYYNqj2zjGqE9jnZQZ5wilS/a
K6K9F8OKl3hftAXQHCGbEOsxAY4QJNPM2hj1GkWM0Y6BmusHsDfVxhrNy1BY7q73mng9dTYJWB0u
MYQEz3MdftKtdpIr4Cj2sbfx/mGRBorljtqTJShsiOXRLrJMntQoG0SLRXfycOsHCOdf8OQh4Y3F
Nk0Jw5Y9p5PIRnTnhb6BxD6ucU4cbN25UrVKrvHcD7cJUhyma4O4dqsUtEqioe203+u+qIM3C+8/
w4M1VNPtLLSXDL/ZzrVGuSKrWB2ghMGO7UeyvvSFxI0AZ8lJRgJEIjtHUrzWyxAviPsO8S7egd5o
j4B76y18ylVl9sN8IJQHe3OECjXSE/em4uypr0flQp+2K6OfduiUDGNruJlHjFbmqOGahPvKPzhG
cdQNiV9FJ2VnP+GjwRCZli5+IeYu064arSuz9dqHVGelPs5twmuQtihF+hwH9ppzB0wPkhJcUDqq
5n4FeJgS3Kh74EXkfUUQLEvoWGWhs7uBefeU28RvsDFnT7bzsOVezPdlBIpTwo5mOz22xajfYJB+
QGGp9o6huQe7MebPeT1TlnT+nKCLXhY1xvvSZqwSFjgtSW3n6X2tM7yveCLLY91TMXQ4lO9LoEUX
jfHmfTk0vS+KpvelUbfsj+b3VVL9vlaSUVzvozDqV6VKnj0dzU7s5WskXd5qtr3bxB2rzbTs4cpl
I1dGUrvqOrN/6xCCipVTGOTAv3+//n2M/lNsJZMi/y+P0Xv5/GWufiQk/Hqr3+dLS0AI8ElnkRm8
U2W+HaMsIpZYRgHpd1k161yn/7ZuIPDHZa9tcZYwK+Gvvh2jrBsAMIDIEZjCF0Gh+JlzlPP3h0vn
EnqG/AzImSkWIM4Paotp1oDXc4eB6CSpOJ4yF2+516JYFjFJpnrdrWFe0067ywB0NBxxO+ut3OJJ
yp761oaPVKIkvOsGM/uqc74+TZ5HePM8NfFd5+EmnVTj3ToTeT+r2rK6Tzh0oWJDJlmFMC2DwQX5
wjGYWIFVxNNxokje6rbEv0zgMzdKpVsFzNFh2boOKQcdYhwM6sOucl3zJgclvu7Kmss3k32TDInV
YJA3FHIh6Bst6BwFF1yVbxqghAe/rr/mjpuubNk3x144cptkGhY3r2027VSl655I9pNKBvxsJJyx
SUnfpkS8orp8kJ6kO+6TO9ao2dZuouIS+9jNnMa1CLC0sLjNNG8irs3PXRiXdz5yaIwNA5khcrL2
fma9wVUfTrhYbrqWNkIz6y+mVn5CBnrWVVtvkRC8b4/3bpw+uKH3LHrCy4y73hlvpdndUV8dmrpG
cpiHh8lmA5J7exnGOPXpNOn69jrCrs53X0NIM8IaH2svknvf7vxLnCrzMLfKR2UvUSdV43Bs3TA6
Gl575Td2G3hWemlcsm4F1+xgbJAY2Nkod1z0T6A3wULStUzMuhFifJql06yL7EqW9XzLsXXTVv6z
44S3aLZkkA/9rp78q6SyCBynrTdye5d0s9okM/5PgBdbjHDNyi0blGPGhkyUFpuGke4HHMJryRKD
/tafKpcQmyVdWLYatkJmRmkXpVvS1wmmyjz72V06sTykK2lT9viJGO6cbJ5I/2RHlKRG9gD6k8VR
lbdusdaXfVJhh0Q4NcuWydXHAhtMrDCusoMSLJT2WQn3EpVBdTMYVnFnZrK6Yc4WHYADV5uEwGMG
ho4nL6lTzdty0PInmP3etkoG80vMCPXMZwt48tzVgaNyB+ewAUJz7pqbRh+7tZ0Sa6OPYREg34pP
Uq+zHWfMG7aUu9yv53E11pF8AYfW7FLCHF77yOsOi0ttE+n0aKMawEnoUtubI3OGsBP6R6U8m9ql
750A1UJ0NKXFuaRslQQ2bpkLfguGf5WtfcgK6HsR3/pgjJyov3bNRq7trMmuKr8bNmNiGAfLjcdV
ZNrtTZwbzu2YV/PK0RS+CNwCK1p8n9Oua7EBaZ7ao2zIUIm14360nFeHbfqbqTK5g1nlbpJSzfO6
Fl29ak04KZA8fbZ8BdAIJb+2mkqpSst8jR7MfUb65lwriCjn0SmaFvs1YcrkuMwvTQWPeWVYc3SR
s4x3c19OX/W2wOH078PuX3PiAS/+axTQ6Tl/7v6Ui/Xrrf62W0cybArDIK7O55j6vWcUv5gCWA6q
Kxse2jsj/7eekXMQ4T4xqh6blmWJ/vthx0Z+ScVCWM0Ryt+jxf+JZQruvR8PO7Y25PiBuVz8eML6
4bDr69S3Ji+uAlWQljJGs/sq6aywr2hj7GzNpGrf+lEwN+nBRsYrPYcHBGCjRAEMjdC5jAxttzOA
kpn6T4+uF8rZWwZ9i41qjPyZEF4nUASsFLdwoG25sdUUHRHYNMOu8wiPgSkbUZuW0zJn94mLAQyR
wwFe9WkZ7wXaKlAGzMy5Jpc5+zzoC1f9lOrVNQ756BSF40WHdWFtE1iN6WbSx/sw8rWPJFu8wyPg
vozzxJ9HJgyP3gLIGA8KYrTQ91SI/gWWV/IhIkj+c018PSATX1C/Vh2nsVBZS3s2iLfYmXB5JRYJ
5r2TYFYEbS9vFVPDHSCdhO3w8IhoFcpCwSuTmtx/67PptQ/GzNAyjvNtxuQJ5IivVoKwwTXT5+xS
ApveeBrmJk2NRB0bow0N1LuAwxsCV8OBRNOA2R2L8noZiq9TsjBWve1teq2tUeGmB48p0U654EzK
WryNVvRItnMQYgVYpQZBovFyOImaRHV562XReZKZEySJKE9+7l86xKXXRep/IbPoGEd2ccgMxcVb
i9Z2AxSAA16uePMgzbfVTd7EnxBRMWGzP03Cvkloia6LwXC2QD1MICheu4FWAaIe0u9aMgxdZ0M/
P9ROoVajr04Erg6fPIX+PHSn+BjD/IOU0aa7gpZyxbc227Jg/jrKBJ4wZCquuuCilZ+mN7qLol1H
Eh2UcmgvpZNYGz/FV22BMd4LJ/d3cxVGmwG9IBiP7tqOnWjTqNx6BJtqnw0bD2GERRTUEmlF+mq2
VL9TqV5u7HC2r4EW9dt8ALxCEeYOH7Nktk5V3SfDyiwF4/Q+y16NCp4dPhlx1h1p8rmOlXdwMfyt
kqKZzngOxiO0vHIX1b4RkBllI3eebNA+SX0Tm/ReK4U0/ioye3tVm052rlvLOEWx6R3FaHUjq53M
OHS04Egfx2cvtMy3tvbE10651Y3HlxS6RJ0PXylCPvkuU2BQADG0l4bJzhZDG7koykj7RS5JHGu5
dmrW7U0GeHxdYbX6GtUVgBiGlA9VkVQXFGfXiS+0uybT0qe4jdL8uqq09JPn4f9Y07Wb921XeU+j
Zz3agz0vJno+5VPGMkilXr4pVU8VnBFV1iNB68E/ZfYwHhEnmnIbsq1N9qOLCbdmvhrfO2mbfeV1
KTacoPBF4rQK4y35XFurJVp822oeJllDGxu19kvdn68GPTSiQEknv8pb3YrWsyP1ak8fPR6yUo95
P1qJvmfmI9aylgCG0ypoDACU4JsQmLOYEWPfrPctOW6EZ4IxvK34MB1iYcCe14leM/ROv7Yib0LL
p5f3OaTzlTF6+n2CK7ddWf2kb0OrK2LcQbBUg38fsP/aAWvDKuBs+32UFzx3z//t9f22S073//jv
++cs+9//608Z17/e7Fs7af/CWbjAml06rV87w2/APYvkSepMomG+KdF+byeXY5SOkf84X1E0LOqH
36ay7i/v8zruw+FHLm63nzhhhfWj4Jl8Fl9n7Eg8Fd2pZfB8v5/LanmNoQuicOCRl2qS0qw91c39
2KuPXfbUeDe6gUGhWRvjQ1KVWyhca57kpurObGzxU+8wegZheNMAF/P650kcFioJg84N/DMiTK5y
G5UP9Kf8IAui0sKDgMkHChjB8R6YJfMPfZVpn+zB2uZhh6M9/wCWlDnWTGPnEgbSiRvRAUtJAML1
+J2nrt50NoFMSH88vX0APXxuRXhE2bYqneVKAepHi4PZvyQ4z9KxuOk5b1MD5HzfDDWWnfwOXvXJ
LupPMsye/i97Z5IcOZJm6bv0HiGYFIAuetEw2EgzI40zuYE43Z2Y5xkX6GP0GWrTF6jse9UHegwe
XhVRHYtKyRLJTWZE0I3OwaD6D+99b4oIpRtyeElsifwvVRU95+FgbpP6jRfeW/XnHPQAq1Gu6m5c
R0l4ExelsnLM8tyage0qZXHL4fDgz/GbTp4jF82jItNVzj3rFtG8xjgHLwm57I5eLKPbxSCWqPoJ
OZEdm5u5fXJGGkNtL/z9bB2GqXksXkv5uWLJqSzfNzF/VX3sdNbSnXEprPo5KbSbWX6BCYjyj1VQ
c9MMpTfnn4I5ucxi3dgosBP90vnZ7IZjfQNx8WoeRssFk7OjNXDTHAlCXd/TDPInAuPSs0XPOxBK
6VXjXGWzsfch0er6ywD3CCH0F5GFKAbH5AgId0v28ETDrWE1ykAxotPTKY2UgvFnb/loiRNPV2Bw
pwwmWsA0owMKUPvSq403TtZbpEA2HNct3j5CrdwC6ZZ6beRv6lDs2rBejDZnC+hcaj41M2HG8Zq1
WvHul+kn6IjQzqOrzO/PWak+hdAaN1ltbfkhHuOQAXHLivSEjn+jBbscw/4mXN5ezDmpYIqNn2te
Vz4y170bTcXLBt70gsWyFWqIMZ320M/RQS3oAMl1ginXzYxuUdOZ8WMqX8e6ZCgCT6mKYekcJ+01
0LJ10cjVbDJsKMXCgKlonaKv8TxcQSJBLCYR6s/arilvIj9bsW/YCiPbzlnM49Zt9WRcD/R9hZXv
tBSer8q+LzNwgAZ0aL3TnRSR7K20cQk3csfwQTOjrd2AYGjs7inqp1szrIDIaOqDJsCw1k/zFEGr
bBv6tmIrdJMUCcziAJZQWQA5XMXKsBXRy5TJUwNQMA4NhATNsxgeTZvH1UZ0CftMlTFa0pQ/0zdf
LPkotMSDgQ79odlpdVK4cRg+G1gDRVCvg9p/4Mlye5+F8XM8Rrwh+FkXr1qibBxdWectqsKmfi34
7jtAvA6IK39EV2JKxkbANMtceIVJYEku+F6mVdxJ6dIx3hnU6YzJFbPdw0J/NQQ1X+tYaOOxSphl
vZd4E1oNe52OitUfD6gp1oP0kTXqIAG/tkaBFJx3aPWs+e3RbrPrlo/QQkys8bu7Jpmummy6Un1W
4RKvuyiec6ynSbgf5thzygGfPG8A1g/PARZaTWvdyemPRp7w9lce7fR6Kt6QhR3Tdk964xVm1XiV
pdFXXQ9zN4ytNcijU+5Y76KDIRHZMandCUqCoiNNJXvr+zFdJSOt8wg5juPjaPVLqG4k330UFrgP
g3xrRMoNuivyOHU6eISLfXuQ9b3obrpwN3f4w5xk02S8l3c5TsRwvMHYdyHJZE+UKYuV/GnAPAur
7KyEn5KCiqeLz2DmGazxVGOSC5xjHcE6qevTaONMsec1sRcS3gjePBfeBnBUwB5+vFer5mTHDUO6
ajflIch8UmdDMlZaiJPzE+w9oHCsLIZCZaGj7dUC776tlAx70u7NNgJIeegExvxJGAA4JhmuNSCY
WoeGxHTimwIFVVR/GtPMYWVP5Q4eiSxatmJu1wM/MIbu2AtrFcyf6rJcKM3DweBrHCpg23p2x67L
KxAM7MY8eTYKfQGbmp+pml1CbB982+EJG8AbyNm+amfWO5bx2E1RtdaHXaMyzIcxlkeXofpad3eC
ycaqbLLbjO1bZXDh4DF2u/ElYauwgmB3Yjan0BxMF78P7hw7h+QRaDycZFnhu6jcCAuDhoNwFTRk
qXMbL5EKmrMVZcSSa8isI57ZK7ab2dY3zUddNOqqzpRTqd/K/hkJAg+HHvDLFKOJ3m7M1Bh8GSTP
EDN44ErcyZwxsXWfFDbr/BHv1Q4yNrErSgL9b1BB2iJx4KtOZ0C36gfzFuO7fIgkqbkcTQG3CCln
pZsOLI2W2LMyQChGTqRLR1oF1LAlNN4h0o13Z/S7z/Qpn4DxvRJFurwqTOZPUbJAeUc0ZXvkUA14
wSwwUVf7qSx2pVCcesWXr1znqonQCNdN7dUscU7p0Cd3vJ/BM1LTTt6sxomxxejiuKlOFSAjmpYu
teDbtbFJ/RwXtXiuzATNhRG2iygRcmke+nuBRpoYG7hy2WvkOxh+GVfzZqnXnTVEQP6MS5uLWx+O
ShChB5ZI0f28UxYqiYPUKzkL1X9J/Zk0x6YpvbQimAcc43Atg9zr834hSY6r1rjNRTkRD9sNa4V4
aXsOH7sM9bTFv9EC6+eRSe0q1yr4bMNh6hZKvGqx7ORcj2W5dSxkOGVNZFEZ3860QW8qHtTtUDpM
hFOzfrRJmbKdbZxM61x56AtQuNQbtnjGZX6pnOxaa/tmRY545MZOzrsVU+7JVr5mRpQfho6zN+gs
b+zmakVxyVKgA8hidAMJPQRZrAsFCnLnlAfkOhyLY7aqIHmbcvB6UEarFKW6NcznQl1XNHCKmRzS
UDlNgbKpM4TpBOo13sCi1fKtY4tefw2v8nYobhR5KvTeHYNdaCjI8i1jpSXqKmQdGgU47adgPyrZ
gxOyHhiNzzBpOE4kFyuqnrJ+DPN5T5i17lrls63EB3SIYt2hv7Pky+Awwt6Ivtq2zGKzEbJgX2+V
/jYQLT/GW1tbdO+3WTkeB4qWrrdXaT4Eu9YKWDVqp7C7sObdBAFpcWa5yx2A5n48PdS9ODULrljT
Ib8hO1732s73WVsGKymCk28IUo77DLidczflnXNnREcTWM9UyhfJlLVSfLkKiso+9CRtfInr8DhW
xjamGXDt3CpuANtiQor7/DzPQeLh1TdPqWUGd9moAGKNRnVvKgpkRBPcq20Fzcaww+kUjQUWs8Lx
xw05Ze8spCSV1RxdJVUxbWLMYTfK0OjuLMQt4AaxCZBmoh6qEQbJqDHPidpb61B7RE/wZQohSquN
fs2oqv7nsvFbi/efLxttYOV/1h7ef02i+sunv/2fH+Ts3173rT/USfs0YZahPf+wKWm/TmB16ycG
D6wUMVdYcEoQ4Hy3bkQmwkeWJhHh0DK2/W7dCDtdVdFXAMFbcCN/oT/k8/0wgUVezgqUThPjFTuS
H8OGIiG6WOCsoxwbFoKVns4bo+XQl3P6eVa1ak3ebwgcpMC/mb2moDtWUKbPMnP2KQONB7/jaq8X
f4ypQlqdi3ZtL24U7ovSTdp+L3hzUrDzKbl2ppOcooti19EnbfDLtdDTLx2umwPqX9qzHqG0mhTV
1iQ95tgzlAuZKR2nSFsbdbWJh+qqjuZ32HNfKS0Y0SwkM4fB7TQ6nGvBVV85uBS1lADyPC/XGthe
HqvsmvkMhNJ4X5kp+XQzKgVqB/ijxCBTuRhyHSqYIZ3FstQOZ9pobFtDfDBBy279Nq52sslKIijT
d7uudDeI6sWwJVsOw3x8MCBHbxsz+mwPenbWodg/hRG7FaiXR9nGwaabQyKcEj08zFpdfc6Ftc7M
pkZbiljRr1nI+LBG5kBerG5W0SgWERd2Hbkd/se1EqL8aAJmWya+403vzFtfTgj7lGwmcpPrB6KU
vEqEU9JHG9N7UfrdZbT9rUDXibupi16UpbjLEVN4KYyXk0QZy2C1oXNXWiC9o3jVholI6Kp7NwoK
kqnBHrxANrSedwTlybTlfczvw1Rexiz97IxLu9WkeI1sAfw2St9bRshGwCzZlCeleefmgBmcGBcE
/hez17FZlfUdSdIal6R93cdAo9PWsujt5KIJYnb3iBWaf0x4Ju5NHeNspIn6yXeWJZqa1yiX4JMc
4Nbbzh7aToFYC+2TWNWJ1qI1mTLDXyVwXV6J6mjONgKQwZO6Mrq6zq9qKCHKqvBCalzCsyBZkRr9
oRMA7CjdNJkC7AEq30RRZq6sQC1uhq5pgNhwTWUM9b8WTTkj5YSSZ++wC9APL1DQcTMrC2Ysj5NX
HytKfUHiFN7GeJCuMaDy28nGMTg5ZjOPGI7H/oL03l+bETCyVZD1+skhaeSmUgabRWhErT3xzxZ8
r3S+CfNF0k/0IrRiPUf5C7ND7CNlib6uDbbL3PBM/OeqwxGeF/wNY9OlUOdAH6+KtDOPs22m0R50
Q3FOxmk+N7MRDNSf3YjtSyN6CuaXArml4a4XiX3NCHS+1QTKUS8pkFq5Nffkg90FLMZV4WtrixEm
d2bWS2Nj9pl6G6oaUZmxWULuFxiED5Nda1s/6+fe65RAe3TyGqedlRWxsvn7zi7/IU1UGItM7oI/
Hku6UR786//9AcH586t+nkpqP6FhQSsK3YohIwLIX/d+8qclsPoPYkCYFTga/QM7QcJAfhO5YL0y
HYQKmHO5soT110y18kd5ID5fJDm24HMymTR/JIr4gV0UxSCoh8RIFnJrijZdjbpI8SwMGmp9m0Nz
JfWp54AdZl1dB5NMy93QhksGaF92T6hQ5y+dLLJzi/mgc9M2sz4B4lIYRZk18UBGQ0ydL4PO2UaG
2jCbKDIk5MmY2dsASGm/D9QkS886iQrlmr9p2A9xPekHaXWAssF3NqCnDKQkropfl6lfPpAfCdtK
mGvUiaG67uqOSX9VAjB2K7/B9lFRe46Dj6HR1mENrZMWlv+qZKCjsxcrlWldVD4wfQKhHIchQw42
DLMF9IJ4ckpCW4M4D/ZwPvH/UrYGO9Zmqb4lA0EBdBIaeECh0xCBGttDE67ND0eP9eHugZk/XFkf
nh9tsf8U+IBUEFfGlucfd9Cyn3ycF8vQJELcQ/ViJBoj1K6scHLkanbRNAfDZvUI26UlWgm8lEOj
hjBiA3IJ2rlCZ5Kxe3kIFFKaXL1QY3DRZs8oMhhm+AR6FJwoa4pqnVc5mYCgvPQnZVQJKNUCUpug
keosuBJ/iXhyJq2wvSRPgOpHTaArAFTLWzz++dHoQUMdiK3ozmpfD8E3/9k/9XP/aUlr4Iz8UyLf
qft/P1SzP7/k53NFJw6IVgQDGDUWLF6OiJ+3HRoadPQC2COX8pTpwq/VLPFCQsN1p1LlagYXLB/6
ZdvBuYIZj6PFMahp7b9WzcpFLvC90BoUIGsTbbFKkjCNYO/3yw7M0kOo6YHKXRNGoDigUn5q+8mZ
uCBRaQ4hdpdIjaOvllOAANXmqBankAe2uZbdKMONhZ7lhJmISqjg7Hi0KDCv06wJW4bBwQAdqyMJ
DKU1ndmgkP/i+jLXHhO9MulaB2qGlSJE/w7fwz5hBokKDSKZ3jJOT5pojW0/y26cDhnNhmGL84hF
O9LXJkP3ZoPALhSXqUf4tQ1Uk3kcml51bzRzdFf2DACnMFR7z2jHQN3Au0e03lhg1258vw4yQKCq
5buUQNKVnQo7pBw01hDdbM9bE9XTOkxT5dXsWU+SXpwn5W0rqmJmVrukaLa2UvQ31thqX6dMLIvz
YI4/1SPIsDsM8/G0y0TJYTc1KMAOERpK1YvUbDQ25cfxxxHMR8XHsZh+HJHGx3GpaoA+SG1OOEYR
rHGkhokEVToUgtgJsjOHPSpgVj7KvBzGog5u25gsZZRvNT/S0ugC5L5BsRvGWL5WOnMSuzGh7oyA
Dc+5Uquq1wwWCNgxHfSnqG4CQryD9vHvW2f89zWu6DxGf9oE30V5Uf7QAH97zbcjwxDoY4WpO0DE
dPUjHfcX24r5E6eRxYGB/YFOzMDQ8oveVv+J00XHSILu8EOl++uRAflDV5EySazcf93PjRLqxzOD
HSwOBfBTfKvqv+N7JL5IzTwUBeaPFDdpYCJqd4umdr40PTjlMnV6aDxNx0jc4WzDv5aqLyhKSaxO
BVrasDXifdE4JZHWddTvUy2PTkU3j09lSPZ1j9zz2f8WiE00drlkZPdLWrZFdhh8DKF56ZKlrS+p
2qwFiq25JG3D7iR026kFXEkokP4mHUjljpZ8bjiV/qZtgiVH/iPAOwfBucWLnGyouwn4jj/CvgeV
3O9uqogA56i4GEsqeGqTDw5YmahwJySPZcKZCNikze0DQSzEihvCJ3LX6cOVVijJqhb5RoIGDYhY
22qLdkkLzeIqbC3qKcBA9XsKFHWrxmF2A/mEppooCjzCXbjy6QSNNehzVkYRsN86rjZmUnQe/8OG
Lcw+o3Q9Z4n/JSyiZA14uVpBT5SwphdweMcCI9FwS5jQR+f4pFnpSR/M1s1lkN6Qhg5JUylezbl3
PERMzrEYfLH6+Ot1PVF3RkwaZ0Im0ESa+i3OmkVji92k04XKhFeiq8yjkgWI6FkUKUeZoGas2uk2
IwmJhV3HTNUtZGmuoox4zirDvGHPryH461VW5de15rN181vVjRYralgS/D1oxa2eO/eJPvCrKGMk
2bBZ1UxjHN61r1Ihu6kjeFxWBjEmcc27xA8Jt5uEeM5ykNnUbVu6ftfwo7VhWWRIROVNi4uiR7c5
t8bk5eF0gdD6PDnjW5eYF300zVUSpvxc5hyoR8HwQARht1Nn/S0d5G7WmEKYRrAJmCns/Gn2tLJ8
cHSqPtsqr7M5+Nyb8Tufod2WJPOgXp5v47BZdD55zc/eRxK/j1vVDJmcFqeotPsNBpMX0N+p6xP0
6+TqlTnl+8hWjoqmpKu5ZY/IsphJMkorJisWVNzKSgOPK2/eM7jogJ+MhrXDh3RVmUSOxBaT5dHu
1/T/bADyuNsqgBHxWFfbJQAlF/BLcJ1TlQfYadPhtRPZo7TSK1j+YqVm4izg1mAKmr3MqR4zpl4M
FKDCWNOBCLx4tQQfib5b5rypxgUOITsYg89NpSKk7QDGqGV+pZi9f/DJJGKjLrc6MV9p33qFrQII
lWck6zcyS28QeeNMt7Lz5DeRZ+Sqf4AafdC5jO7avq+8IkhfEQMj9LIgsq5mfbbectSH5MpFenZC
E6Sugd4oLA9GZAnazDCjALBZM865aUIa+LXiQxFz27RN7+tYLlEuli/us3K2eRJIivJKbQADOiMg
RIlt1uF9gXQZYWOrayyb0dxj2SZ19aboO1bg2JpZIWUNIZ5JO34iQw+0OclJoIfVrL+tBgNcWly1
gBfIS+S1dqIFD1gRnPdZhsZLPZWgPv95pf7/yY7gIhp0xH/c399FJFD+eKV+vObXKhyMob2wTmjy
HabI31XhhFromorhEVceHdKvVyot/IJkpDin5ZaIi77THNk/gd1EH4z3ZdH0MqP+KzPlf+e6ZIyM
cMliHOSgjTJhNv5Oc2RKQHw99m4vHyaduIRJerKe/U2hK/Z2Zu61LytaRTeaIommt+PyTe25uKmR
Jb6gfqs83UgjCtY8Bv8zRPGp9CPwhuxDzzYUt+sxXWYH8Qx8QtGigmybPlgzNETZYBbj+MngBPba
hErTUyItAcbVk11AlpaZe74GDThn178aNP2Jdra/JpgeulykOt4UGgD1ImPAB6E007sO5uNZjsCx
uIDqOzAtmSe12PBkjmZw1guoQQPr3FmdLLdsRsMbWzIfUhmza4uIOgiqZRPPHSSQNMfBmpUd0OWK
Oj7UCp+NIXBEty5yEky7tl2RiT4hVUR+aXdduJYF8ZN5GpjXsTGbK/YI40YrG9vFUs66iKGmF0Y1
kMEoUndDOefVOmFCvCZjlVSMtO0GVypNdR9kZmKtcyBs7YojongI7AQnO6Jjhc0lnozVMDhMb50A
5vEqp/M/qmOnPCGpab+ijQmgI+KX8eg80tgt+jG7Ce2JC7Cb0q/ajF0RQwcvNNFybwz89E9zoJQr
3cLvOCQhHU5SOl8LmbUIjSIWa63u49rLbY8b3zxnXdZzapbhxRykgOg9xZ6C2IBgUpz5vWFrzPZV
0xNVlXhCjKPXaVQn5lyUK6OpHKzDfXQVmswcXGlMiyMpmA65GbHY1jA2pHmSretoCj3iQ2sPoLnv
iTpLryKnS2GPgSxseTdxnub0vrRPjQlvmyiSeTE12nCPXbGQKmWmOG/DYqYpAuxIYLRIDOia8IZJ
p3rSiJQ6Zcw5viijqO7CiLXJqCnKilqwuilyHT0beStu6iNOBqvH2FZD/em1UZ89w2aWXklk4wtw
reFYET7j+YvfK3Jk9cy4Kn0VdtZdR7qWk/hpV1+4KJw7G8aMp/WBBWOsjhEEM7wpMJG8lLlt34AY
KB+VwRjPRSfRbA3C8Hqe/k+zw88wSK3gxGqchrYaUeDNNWi5aGQRgdRYeKFeT5cgFbVnd8BqbMZD
N1U0zTczhF6PWPP+pu2N8pQLJ7hV1CXfqrVBb0veB1ImVym/rV3X1NOh0XiCGT2nzxMJ3Q8wzJ1D
qOZg0O0lWC/1cXqxWkBSNFrd8F+DHPhvBV00kHkxQ/njC+Q2mrGof1tz7r/8z//BhfPtJb9Oh014
AAsU4CMi+redJGZG7I0fq0c4A3Rk37VkHyNl7CJ8LmlAiuJD3+8kGeGouBmXF3Hr/IX7Q/sIYPrd
GMfEkMJXKFSuEXq9H8Y44H+Qf0+NwQM/1G8cE7PhhUauXIaGwLY18deacg6Uyd8BerPvJwNy0oMa
cvVtaEP9/hrZTPskETdkh8wJZH7r60YgHk2BtdlPApsoz1qGt1mQ76y0srp9JvSxgwnb1/KaGZBK
lN2iFQNe4FpGaG5nBHbkKzjydRIc4Ebaa5vWsoNjCXobZQU+aAIvSZ6b+UA5x4c+1PpNPpOKVOoA
8/NEohMyUEOVScdhXoZXIncYVRcmdaUzXIE4St/VYfyM1ma8aFbYx65qZUgPTJvnk5xR4CRk0muM
hcwyjrZNHr93Q094ZU0tO9jRsGeZ+d6LKtoWetp6iPUMb6lAvRrk8N4fSc/MhAGIptQ2CBLOSY/U
Fcx5RnWelM12wEmxs4yu+eJY8UU1IhBgbCfxuvlrRQehVLTysWT6dFbi1nNmzdMQfx6coUW2mg0b
kuiIj0TOuOtQrHt1hMVbMGVeJ+D8t5lTIEMLMA4aXfRaFjP+VfWWU8XfGgrVdde12r0Kick1M9U5
Vlyeq5LkntUoSBlMWk5LRu+T55fiSI2bsvtNnJ0x6QpSk8WUijwTg+qweFXr3hwOs6roHiZBrKxy
cbUq4WJwxSx6XSyeVxABqF1bTWHjtXhip8UdO3wzyi6e2WZxz9ZWp9yC3fKd1WSHyatTl/UGv4l9
TWQgtoOuHvPd37cs/sfcaJkfD/EfH1j/q2776AfXNqS+5cn/teRdhPTMFU1zOXyWwva3wTOHEYEu
Ns40RyxI71+mSNpPLLRwZ5u4xil7v5PZL65thkvY36iJv73qLxxZfAk/TpFYZTkWUyQLMKGEXvj7
kpc60fJR8VI8lqk9QTQu53QbmFHYrLlCdXAbTuxPq4oP0N/Ovb8NCmSRFUhYHoswidaBwOeplEr6
aW4piBZfZrIVjJdWojazByVFGgjVwDqmpTbO6xI5901TNOFxGDH/MmHIxa6zE5o3q5qifKurvgE7
NM1HdioJkdOxgw5DZIYWrWk8ERLGgZZfpqpvFjpaEyWLoy4+OHOXRduuUSO+mghdiMoCKjFI34BL
xYQ5L9qYVX6yqByNeFgPw6iT8T6gmYq7dDxxhiZbY0b/yAILwbAetOFLxvd0KbKuPTA1T27BrzY7
aHYxzaujWO2KLpqoiLRHa2YlIdq2KB2i/TiM5pOtduSdBW161Q58Q6llffFrpfvim0MLIM7Hz9a2
k6vbzXbu55Vmt7tYSVHDyZU2OY99rGPzbjbk3Jz7WV4aBQReVz7pc44olajtELoisr0JEYQRngOC
8iIfydnYe5ONddDxd3re7auBkC2syAFYLSt+M/Bgg5iFd5p97uxhryX5fjJn4j1MxvRQ1PXukfiJ
T6UOSMm30zWKjHMg9E0LUaTIAi8KYxL/5jMsuo3a5Q+OWFTZENd8Qu7nqSRru4WhbSBSNy2IIhj9
cMGtECu8JKH/GjW8l2bSgpQBBG3vcli5sIbHtWBb4CIEdmsHf5oOENgqrwohbxtTX+MPRb44sfeo
1pJ0CaGqx7Syocrv0MavR+A8fUKMGStLep41mjZ9jTHu0OMTgNBxtv2JueF0xuAMJTFg8I7Svpq8
KhxxKGf7UZZeUWmfS/AnZtddYVJD4SZdzCPbuXLklYJCwEEgoNIeQVHj+mvuCB9Grp9xL5kXEYeW
W0ntHlDfSVovYnzr2QJ7BdJyfude0+OeKETJ4Im5aFCnBLCrFRrpCOSQam78ju9AgyFTFpjx+xIQ
QBG4Y2dQ2nMBLjEvGxj1OmM7P8afgZUsGf2bsl28mXNsbX1Q5OfZwZeho4Cqyk9qIMllrYavMVFD
uU82eRIeen49KFeeG+JrBigIcz3vzPG+VptXHxdB6dNfxPY9Yp11gGEwmkF+6bbrW7Q5sej2ud7v
uq5ikEWxIAg2tG2CjQZ/NThv80SmKblMLaqmOED/F/r1prSbg8K/jPOLnXZPifiaEHjjBnG5s+mr
J6e6tMHInLdcMRgm2xggS2S92OOwySPSepn7lLa9bkMaiPpaEbkHjeEYNMXGYGqmtLXXFEScK/YL
hQejZrm3mvyqH/zbWZRH6cxHrWCwF0zXjhiXfcuCXn9xRmOlA+N36I+UDFOq1uPvUeZbAb9yRWrX
7DlRtB5Ix12875kGWLRpr4sIywTvmEgxiGWqzmWO61Uts6tcUyJ3ik0im944tshijLCOJusYtaOc
btsQKl8Tex2daxTUJD5CPxbD8nQ0xTYK+NOmn5LxTFIzlmEv4Cdox88Y+L1cs5kxKudaMFTNJ+qi
3FwVFBH2JF3Aba4KfZnwoCjMD7UuxCot5ZtvdltNAnQOxGpA9skeEwRn/Zb66TaEqd80jptNPKiN
4g2NeevERxjFR35zt/GiuS9JtSbh2DyqOs6OztzyH1cpuuPMoVZjA2gkJ2dWdyI3YeZJnlTexY2M
9nmlkLvpX5QxGrfYqUA6RlpMu29ej0P1mGRW5pkNYmy114l9RhMK189un1ToyCtpUbhWdf3gTFl7
cWTSboUGnkDjSdh02PNXZMmjd2LtscLylON9UOOG6G9ZbSrWHniuqOmMquWdIo0bJPTvap05WzCl
l2Gc1FuiA/w7LD4ASwnFATrNGdV/FM7pRxEtPgpqIkZ3lTZSY0PNzK8Gps5et0S7P/qtb+W3Hftl
TlqksA/EfaJpRbUE3FBhKIn1cYSYVwo9gzqgiGpdthxAMmLCIHMDh6lihIRypdA/MRjN033Kp/yv
aRv/MCfmH7IMgxpn/eku75p0lx/6xm8v+VaEMULEqo+ciCQ+mPMfO/6f0TmLlpXWb6mBfoE2/1aE
MYlchEMI2L+l937XNy7C02VZjLKIcaX5V/rGH5WsQmf9T+QXBz31F3Xd70uwPkumQou61our4KT5
2kWV7M6EuesLY1Fr2oP3XU/9H2DdaHx/rPp0h8pSZWTC/+kouH//V9p5wH9kgu5lNsPJDV9Ze83k
ixDOKbOrI+dtXrpKW1lQP+uMh9CGkuIambSenYV/rrU53BdcG+mj/gFInxGI31JQRYeaDdGRmytd
WJrVXfyBV4dRxmZkYa4XgSiZ28NhtzC4sYTqHpqF0a6o9Ckr1A4Pvl/NnviAueetrvRndZYEY1n6
cFZk6HPfCrZMcZVshty8EDkgrpZ/IL9KEj0Qv8eLsLLSGnkEj6XuZcA9rJGzhQPknhncQ6cOhGsM
/an3lXA3jmx+nEjnspGE4TQSN8dU5StFkogGHOuCCuMeHlfoVTNiwbbPLcjzzXAzMsBc1Y59bQRR
Dmd+BEuiaC8KsZHHuKyp0RKEw+iVcgm5p9amRQAByYR+OhvFRdEaQMIl8NLCSYBo2nvI0RuMsNYK
ilq81tR5pdb13oI95ip5dm0jenWNFgvQVPGFpA26244rGCFnswoLzn5HvmN8e6xmZ0NS2Z0zlabH
LAFdaLFKO4OQXvtsZOVXsnrPfhlt1UK5GHnAFdtor30nb3zd3DR5BVemQbc71flNXYD3K1qApVMG
N7pE1k0OQbYKm5nNU5aiu1I7cy0bJNNZJse7rDYstqR6XN6Q4yC3ZA/lqEcK6ylVrI1uVHfG4tHn
UM5B4Ff+3gz7kxbH1p0+FTeNNfFOCOR9Far1vkfbAd05f41T4X+wi1X63m68KUNc9LFlHdRMOfdh
9qUfwycJpzUb4otNWrSn1O2XWhGukpq8a5DTvDUynE/lVH0lyo/ZSqS72pQQHcAcBHJvmO3YKamj
S9wh/px4jtRPGdyJow2HECeTIXqqwdgZrINQW/bZc8kWu4ibxfsRO050CTvYT4Fhbp0oowg1L8TK
bjv25eSz0kxk0C/cMogXb+XngOyLu5i5ceYa8zQ8hBLsqYx0/RLX1Xxv0UDxyZ0m27Kyt7foGhlx
93wD70owqhc709X3tEVMjFFpcMqroEhTCHuxACphmriEUVC/DGk8KNt8Cnt9GwAQulRlzWym54l/
bmbLxsJFB7Mta5+yAH0emYWsxD+3yGnW6RjPzIDZthuZjo9O65gdoY2Hy6obC6ShNgkpEkjHY7vc
F0aaIMceQHHsM4UnMOmG7jAblTH+nS0d/5CXGyIy+0+lbf/6vz/lyd/+pf7bv/z+ivv5hT9fcSYM
OC4rVLDfJCkc6T9fcTr5ZcjXFqzlL5ffd1ecBRkOIwV+f7ZvvwncmDOA0kbY9mHz5w/8NcrqRz7Z
70ajwOdwKeH15dZh3rrMIb4Lm4VeH4ZRhs9oLvs03liDJjI3yQbg/aEd4DkMjeQYy1Zh0WUonclk
jnV2bzrMsSYrudBAciUlXMpvVaLJR1khw3BxBKjmupGyEJuh4c1JlFcqn+mZiq+kilypk8TjWLRV
VV/hUsdnhtfA6DBhFlF5mNK8fVXVqAmv9DKKseETdnirlP/G3nktR2602faJoIBJJIDbKqAMi951
kzcINg28R8K9zLzMnPc6C62WRt1yv24mYiKky1aQxaoCEpn723tt0XLkrgXpWJ48810GeKX5VuMK
ZAg5kN36bAKY1LPHxqhG3DBJQ7qPBNUWBxuCxDwRsGIRU8NRzfRab7MFG922wIlC2/VQNnfKwgAS
MpsIZD9cGlpVvuqWjjHE9pbPMC2NL2MZ8kTqwKZVgdv3xkuY2uOemrNPS5+FyzYah5QYORAW/Vh2
cfKFeVh8M6YcmLZF58bXESaVfAP6kiigjJ0VL7Mslrsv6jEQeW0Gs+E4ELUmjoP7TFo01qa21J5g
a5duQOXLzHIxxFFyBX9aexz0zmJHTxqPk/Y0kBSEYhYZPiCSNWTeh2A6WR2ycueueG589Qlnocix
a7XTKfsxEEs0HhsGgk5+bsyWk/uGmlVxKLUKV+5UxNUhAjG962JzfC8SXfuiCkoAxs5Se9qCodxN
UXU2eCoM0pLyFULDfXzfZK5T7UmWw1mP5w5IZ20gqsCAyO7HGq4qkTjyuzJf5vn8f1fz/L/rrmN4
/9dW/1P1+vK7vpRvP/VtxWJk45hM2XHerg2K6zTl5xXLpHERrXQlT3uIh6xqv1VGTRY58XOCjEXp
N1tyBkPwvWha+YYz+Qe6KIGDH3bIgpfHq+AiiuL9Yw71/XqV5Diccr22t5npXstlGIRAjjAzwAem
TOEpRFIu23mI886fK02Wm06OXYhw72rNtsxoQvJH2ZZBW1PUCNBdY1yRYyMo5ojUf5c+WbS+BZHZ
MGZfhizIZxSDyTGs/ZD1UEJUmmxo04At0tifQZqLq4jb6qZIevqgzHbah4pGkCjMHKq5iYdWcOkF
WkVD9zUlchl6VF7A8EEsUSlwBWnd6ulkP86a1X2JcOnEfmi3Iz23GlWLhGuKjQqJ/xSiGTaI1bYP
llZjo+w+VFl8KbAN9LbFval8h5SXnzkrdbjUN57uYfG1smLvEEBgDRdW0Nv0EDv18Cmc2MzNOr87
LVOqFdP9wM3axOYXqMOM/5v71OId4LRAWKrJ9FZy1/XWWV879xLKg+ycY+m2l44xbFy7JT5GSq/X
3yavv4I1upcV/xtkVseo3dWLlOhvbfsdRq2OYodSyw6VMG+GPiGCWtYHDd6DbidQHhvIwOrcKEnV
FVV5L4v2OENAVtZ8rSjabrrpPTXtXZhQHpjRdzgS+Vdwz3zLQiJpnGZXF82ht6vmXFQoZtpVJ+hX
7OYDPdmvc6/uopSk2gRdqe1cXzerK2qy0CY4N82D9lF4lBBCgsK3qflWvTxWtJmF5nLNrvd5djQg
ai1BXThr3gTSfqoOOoWL5eAcxGBcOlEGyri5X9riKi4oELGB20Re+5KMZ1NX+GES3VvNEEzdco//
7KLTM1xyd3YXfZQ2Yz0XaJMP+zl5dzXBHzGnEey6LDKmo5CUntk4Ej5NpSMGEnoGzrZM76uHRA+l
CeA5dm8Ju5gO9clQh2kkTSXVZ3x0xCEEfWsI3OkmtsJFbVMZX0gCLJCyJ6/6cNHsOUcCfosoCSC/
/Jo47nkdIs223aeMfGAfGtdKtZdSgOt0iD8r80pARxv1TS70vT42fuJON8DLfFaQi76IrqkRB3z3
Voxu4NUAWafYOaYpNgrzAQb0UUu8LxLxOJ+7w7oO0aRlXGNpSTeh1qljrkGonHRjvrNn53OmtcNB
9qEJPkY99l2fnMmE3jma8eRBlChWaumgs0bzl3I1l5TZdh7HMzHN92k5HazRvuXyubAXe9941alT
1H5X8OvCAmBdhW4vc/wYRTSePA9BKEqb6RClFLMWeRUi0IOTiNSCwwVX5ZpBnZZllxGvZvvfTz6J
oouCyV5Gxxk7c8HdaT17oX4iWO1rFq64gpg2s0BkdPt6JAcA+/S6jdmNk6XZOjA7/IwzvLewx2A7
RDuIL0pxPsBkG93uLsmcfWZ7e7vHQLmee8dX9kjzjrCNxWaNJogZqEKOIFt5JRzSUT/runxXMCdJ
SdZl8tJL6VS1CkZIRYyQnR87N/+oRo6NsZifszLBS5JlDD3XvRq+o9xnQ4bxgsHPodLj0Zdhsc80
Ig+yurPs/iF2nMKv81Wwg15OfMBkr1Y327oG7t2aJvexl9BOMYeP89QGTnIEX3tYkjRwoRJVBqS4
aVh2jlfeDdZ4k+n5G1z2XZEqXyVMaux0ayuNtg79PLaxKmludh1GgA29W9pFN3YLIoixODpFTuO7
1EneahV9cHq0ieN68ZnS1OtWhGNWv9WyQT/XkW+FdoMK9d5Yy4GO9fnYp4ib4WhAfyXZCc2/R2DV
diFsP/qw4SQ0PAA0MpqaRtFPBLmXeiXqdks3CfDpBHNorCPx1yIDr9DZFdtoyAi+p1pto4GTPCaF
os9uGtlqSZKmTp7tndy1T0YzJY8Elrt9GmugWEqKRCeDERg37ryzNH0dKMzNJdunXhxCKgJPFD9x
f2oZjMt/j28eGxhEj9/ob79jsfnvZbL82Bz37ad+3QkZbEmJxaMnelzvv86ICeFzNMM0YwBBI8Bk
cFD8dnZD07SprWE+zDblm2Pyl3CS/Imyc+L5CHtAS5ii/hN5EuPjj3shSs0dBFIXHdBEQv1hRjwm
4TprBcXjWjWpXgMH2osTLfCMbI+LxPTosG14BD+Va69tq2tTtlWVUNZBkIq7jTI2bv4Qu6FzsBdp
B2VSMDOVJoW5xUzA6BYSff8YFTZnNUa71Osma9NuluTpZcHu8XXkWfup+FrJi6BjXEH+H31lli2V
vWt77+CuRb5iSaJHd233VV+LfjkPUvrb5UXRbWeJ6Y78f615aDFmdkcsx+JcBWcNOPQE5LCnOZg5
HF/RhipP0ACRU7Cf6zQTZpUeYuPbWJ26rFPSAzfYRJXCGgYkJJxtDM20tnVdgAtSL/dErcCqoufE
Mpi0sbZ2ChZAuBvNKHsdmXqwF8Fq+6RsqwObVemfawhD15KJRBcoYklyp0zZN7e1VmRkpdysux5l
sjLXetu+7so1/Cx0s3gPPb0xmCAXBjOVxKmhTE3ueDXXEzZ5rwQ5Ng16NV1ETe7um3rOTyBArfME
MuTEWXrgScTS/GASWWLN4jhHeEzkGBkbozUCpQ3OKyBN467qRFGcmRj5a2DfNoSSQa+fJIIxZUOD
x78K0wIgVpmZXQfQZmgoGJtBe3a1BU15qouFyZ2Z0OLGDkJ/ZF/tPbpuX1FIHWcPVd35ZMbdT6PX
508Q1vjrtaqvLyfTcF5F7hI2iB0BnX0RFSNcS+9KjrCmVT3OiwPeNE57q6RCVl8wOLpttLHKhjRC
TfBlE81UlF1KIBe9L6gUqXeD55qv/VizzckMAKa2bd5qzVL7/bx+nCnoHZjeKl5u2kZ5IJJQ0oPU
gAB3ysmJYXsIGaHvSmMa5sNMJPWomnZ163Bq6U6Tl62d3o0Hj5McRoJ0mrvuDmaMzLdjldPEqofe
Enj63LfBv+fR/8yaLsloQpD8c6MO5Kr31yT7XkH79lO/rsKMgjiK0kxJEScUjN+cR+FQAzyxudgZ
0qzxzV8UNOw4xlqnySL9FYTyyxJMryerJjYd1xIe+dF/NCFy1xHQb9UzYUvav+x1UoPKx1n5+9Mo
d+Y0t8xqgV7EKE9RE8fLpiMeJnyZZwBG4lzi20NGwnqjWlavPAGwtFnkNH3G9tNzT1t2Pe6zCIQa
CQuBYE51VnQcqkH3az5dsbWx7XqcPj3znmLD8Ap0FVXLdNmujSmmhz8nnakrEbHOxqhw4wJq2kLx
WNikxrsp4VhuGttQbyqVLA5VQ9ISt63HhIhgzUFmmbpLM0bFTl6U70S70O/QvshXWmVovuNRNk4Q
abHfMAF4N4HRAb7ry0tVTS6ZLc25N0lf77usxRQtk/nL7AzRGGTjwmMj65V9l6XevVxm90HYhH2q
luYmVvElegix1T+0SaJh2odSlG/reQanVxhSPzZJ3XOmgFh7PzXkQLdkYoDAJRODaTd2xnvDGUJ8
RZPuXRMxV/YZR4cQy6+D8QlKqNLP+zbvn2tiZsDKFrE0m9kcIob60InXtG3RBNogZf9vDuVn4+/f
h8GxDiEW/fnNfkIt/3//9c4E7vv73fr5B7/d7+InBG6QEuQ7BamSVUz6pphbPwn+EYo8fKP1dv+f
+51IOOgHdkM2jx52ZqvO/cst7/5EjBwrn0DdxrNHC8s/UKAoAf7hnsfobOkM/dDM+c8TP1SA6cg9
+AAZPEbAGfHcQDCHgWpiz9H1cjrG+BluZqbD7i12W3VQtO6aeyMHAGtQfIl7BYQk8YaeG7mbMVdh
tTCvuTfNnfR6fK1OlYM/qDh2MPbEg8yAB77hvlmGqPUjzhPgAmF0XaqmMz+FYcTuYg5n8Vnym6/r
RAJMjQllVX7Hs47ANoIOB+JeldQZulEv910VpZeZ0bHjm0vpniTE+HdVLNm4M3IKsXCI9eP51Cvn
YwjD7oHC72k5jHNFggBnEmmINARP38kSkb4dAyA57NAww56ZyWIfTdquDm7vvjEzrR9FpoW4pzrd
FyN4wy6PlvM2JeHY5SqZtjrLIbJ138svWZg0e9mXMqi8xH6kBnf6Yvc2rxfbjT0hIy1s63KZOeLY
G2BiKqYCAYVnZ5QNAtF1q9mwH83B1LDALM78SMybMLfeyzvC6ZPvZW3EXFH1oJxEtW46R+vSgdd0
qo3eogMnGov7rhL9Ux3mkG67YSvz4tJDFyejKxCopuGT1VonWkkpieUy3RLXfE8Ekhwa+HtaUWqJ
oXMzV+OtVYuzNsk+zVSD+mNpvGcgOPbRZIDh4S1t7E77AHVzo0wj21ohePqm7aOA7dCuXIcISaOu
7ZSmEte4kq3+WvPFbuqmJN1QzPuYGWZYj/1+HN1oa0kHTOx8tCf3NFTjXVZOz5aEeDdZc+g3XUqU
ULqB1ciPbsl2mKe3UT9hunPvbdne6pTP+sIEKlkPz9kweRf9aMAFcpoVGVL5USTFpswVNjCn2vUx
+qczzmytowGblusUx0ZHfASjrI6u5dZ0YCbOJk+6EmczhjZjxLftQLxKmuWBeGTI7KGnONJM7odc
ND6Ik7dYN1cPqNSMHW5ufc+MGjUWJ2i5c4ykuBBV5DD9rYiW4OfKMT4UbTmT2HVlf4PaAPjo3x3b
f7ZjE1DlWFf/YhF/abvvl+9vP/Lz8i0slm9wHqy59HCsW6xflm9hQvT45qn+Svz5dbNm/AQDhJ0d
sXlGoizV/7N4ez+h868T1TUoQu/kPyrDYt/44+JtGZBGGB+QzWfjaPKY+O24Ex+JGcfR7KxXnfE4
UyOkKC9SQ3esPAb7uwJ/YrgLNSwISU1/050oDSaSTUtX3i5zCWRhsMZzgCY12gG9vgPsL9V6+9oe
+qMtwf2kjT7fmc5U31cVhT5ZqtPEM1vWeN0KR3+mys2C2JtMIzzZ4lkbBg+U7gBTaFdq4IedTw1g
yVlslDbd4pyioFcTD7OVbOvlrHaDwX1v3X2eYkWKtOskc5l5wKaUUfgCOGiTlQYqoL21tXjbt3FQ
ccILsYjSGbjvpXU9uHKXJxXjgIvC1ZDOSHCVzs5MH6flo8kvceoVZ9yeeqPfjOVwxjAEIpvBUbu1
n5cMzCtaodppg/ZFL4dhE+fvfV1tUEte0/nVi84xoUvsiOZ+cK2LNPuspQAfWHXsRwJqbxgcXmmM
tTYFiLrKoMLXo8vERDcbpr0Zu1DlWWOKh9CuHjUTNlqmpxiR4yMQhGO5iHsnKq8rSSQDYAqOZjhL
7baYrjRVBrFD61h40XqnsVYbzBlXLZ1IBwo7mXBQzIXZCQKn/gmyDO1J3lHzBEJI3JLX5mNhMIkC
XFka25eI7y/UyOVn+v2SSPGWDf0uz7bQ6JeUMOmCuLICA9qz3BI7b+abr+J3dv/wXhli68ZDlzD3
8C5xFGIIfijNawgv21h7IPJyY4fePu7sJ11X99GpGu9TPCglB9Vp/rAo/hq84Wlx8p1mNKeyABkL
mN01DlM+cSyPmD+Am630tWjxAhqUvxjmMdLDbWsR2Hfz6CUFzBdJkouo5W1zMdArSFpzP8g+C4TX
YYWvLuSA/4e4fEMtE0l2WsaTmF5oAKwle4ZGd85s78QDIkwvewNHfDfNfMxhutf6Jd4D7dmAgVB5
c68PXBaGCmbw3q3n6+C+B/k6TXcaw2E56v5UuDoG4nE1XdJ3jApDdt+7nTGPgnlqkuop6m6j4W3B
wiyTO1VrGyPxAgFUrxZvZUgLyrEXQNKXO7D423ysn3k+494KmRhYR2/aJ0NJE0p+p8XlJ30SftmR
jpDzwYJfVbU8gLSV/IwxFzVdWtoDOAlQvfrZnIYXHBx0ypm5RlPDH4dwV5v5E1Cpc623Puyy3lfw
ERi+ZMNFEZP4lck2MS0wirLfmb08OcI90m5JeWVcX02TsR2miP7NaVcZ/VnGBIcwa0BNDdBllDZK
k6Wm+fUYI0GcWxpttnqgL9kByCHTGiZ7fBVwjivFFS3Sy8gjYWSY8jqq37AenC0pQj7eaZsC1lJm
uj94OTMUl6eiXtkgw3S4GHX0DvIKZYZI5MYsIFWv752nNSPLUTFjCr0nvWwA+5k2bgAIlcot0Ovo
JSi9gDDwW8bTfUidXT1IAmLxZuj3MA4oqLmOaTYS7euUlA+zydjg2rPYDWI5s09DfII2/mjLaptG
JyXO7FnuZnGiIY+a6V0s052Yhss+dI5LFMJfB+fQOt59zRZAIzrxlhg4yGd725kdX809FpJg9uzd
XDqHybhtc0Y0q2pIe6n0XVa2rut3C97oZeX3ZgOdBqV3GGlu02AVR2dUDtBMbXQn7Hn2p2JiQlA+
ataDCXo7vVftIWs8CMNA81MIQFf0PXk4LzSPXNfOFrtas3bOQsQt7lW4z+PulqCcWfgJ8ynZnTXy
AhIrvr/AeK6YnHn31B9th3XUsNPjnYdQxvYHVnkUQKif5Ul6QT7Qp/6ookPL1EtPfdij0qZlaucu
VQAxOK79FR2eVafaO+LDc/JtU3/AksxNX3+f3L1I9+a4bHL7LSVMULIRl5tu3rsa1yVlS2F7vtBN
xO0eNd4b9yOIu2Ncn1new8xcld4kxhaUBmC8ADNjLpx+wSbBkFgGMrNP9Po5ISeT6MTwzFZb8ZKi
7fJy+fnc+601HggcN/2OsPGE5RDYZpP6WRZQuszaliC76huTFUs6z/Hn1t635nLrVRvXoEiS0wOa
wi7BY6ecgKGKka/BRQshRO3oefcX069YzLEAEftp50NqvYTlnVvvOK9QOgWv052DsNlB16DM5pCL
56Y5z/VsY7ubgSE7HChhPY09Lh6yz2Cxm9Z6HQVpo6U5a/PzjOogUk63Xgd4yyA1rjzsQN5U9zuj
n960WcR+WoYRziQG7gN9DUM7kP3P2fHHX1RMv0NCXNveK5E90NizZyRHF2SyMVvePoAfo/BOaTHf
yJoRJd+Qprd8gaDRrQDG9hHOh6+Dr+68bAdZxleMzyhNGOHTQLjOt8Og2DM3o0LMjs8yXQsK5QWZ
w2OeCcR2Ij2UDsupJ43gnrsafQagY8FubQwiFgy9u65hWP/sFG8CAsKk8XF00AASzj+aCMbojGoD
PfCEs8bthcEPIsp456kyqDdOTUOjkddMwy8LUmzCwDkvzytRhScVJc2lywnw5BbS8IFHL3eiio1L
aTigxNRkiC1dy8s+0jKU6Zw2xSJuQM3ThWx96uKmCBYrUfquFdwj1EmoF7cZUp77tSpumq6rrwxD
5XdN48xyCwxGXhVDmaV+Q7E0d6ps8EXJWjuOtZG2iExUIx46rQGRoHdVOwd8qdm9oUa5b6GS3CZJ
2uFJlmNbHKwuGqcNPi+7v7DaRYWrIk8Qbu4N75qWCd0mRcOBlXoV2iZMdlJcAln1pQ+jVATkAlp1
Mj0jwfwUAm0bBjltNYAsw84Lwz1+VuQ8PVT2TePOJZeyZ6j9v6eQ/+wUQlDc/kvd+EL993/lL9+f
Q7790M/nEMxKKyvEXYkhFuS+dUT3zcbkAPwS/B+8+uCwhcSF/8vwDnCJoKjXNYkpCPz/aM2/yEjy
J8yYlusyFDPXiME/OomgYX0vHKNuMZ/g8jGJMoh1Uvnbc8jiFqYahggTi4ZHA9ZxO6pbbEy8419P
Zn+QKDB+PO+ALUSApzAKfAt876+Aw9/YO62iMOq0EuyRvcHcOjaycLngwJnQebHM1A0Tehc1VncO
nbc8Fir6+Ou/gE/5xzcqDXIc67HONp2VLPPbN2ppnM7jOUe+pU0Yt3r+kTbmQWhU81TJyyiSv3m9
P3zH8BrXz5ZjI9/m9y84tGEuqdRotlZlHyT1a7TqWddlSWkRvYSvozU85RGFfZo172SbqZ+FAxyB
0Xv1R5/4H7xhVA4o0cAQ8NG5P0Q4KD/QHGqCKK+Yi5e2GDg52d4X+PsKrpb+2NPO6ptAlLZJTk8v
dQPtYalHL1jm/tZdh4kiJtiRQUQFM4JOlk5ls/nH3wmbesEomrExV+APf6IxelaU9/RrzLBMUApF
wEj3JaLGYduGlNPW9fwzIPVPPxXzD65D+l0BqziEXrgg1///m+uwJFiC3W1iT08kLqgzwN8squJU
D8X0edJEeKExrN9UsMxzGR9UqLwrSnyZKCuILM6DWYRXkeYKJExyiniDjlGRTpuFRmu9z92/+RL/
6Dvkz13vTZQCUuI//LV2VWiik+2WyfCL0EtKRlzB7IHDHRUjg08e4vjXX8n6G78bJIGYsIkzWbwa
i9I64/ru8xGRafUzA3Ejyby9NRJWSFT+YSdjeda7bvHzQPJPv4/fv0HmVdi9qUrl+CDkDy8n6r7T
Ndl0Wyh9hFQV25DMg3HfrZXVZUNqhIOS+Tcv+rv3CP6bpXOd2LHRYGr2/XtUTZiZ80KMpVSVxkwa
Np6WvMy5ec5wRv+ba/x3PlGmfBhAQOavHMjfhbfcCjtdjyS5NZFF/ZpHuRpBsUNpQH5sb9vVVxkV
XuC087c0xJ9+uOuH9913yWsyhmDNg1dl0tf3/ftsnKEYBOs5FdfsOdZlKMuzD9lPNHKTSGdChQIN
6vhv3rHxddjy/St7eHIlwC0wLFxJnvX9K+uVSETqVGrLJv9FsZdjw+bQp0Jj3Qme9aWUGPi7ui+2
9LtmaDx9c03U8Wrs2d2OQAa7CGKb7cX45SFVBGY9oGm3ZNMHrdiLap0MdjafIL/ihS8P3cLt8O/7
dPKESFOle4yMMeVYwKVgHhgOjFuEgUK7KmRvRPvZHKFUV7bMzC2tStCYy2JWu7av06swpRsB451D
WLmYUmyGgOM5zcVw+7q9axbFsLUJAFUBaKz4UGBkO+/LSF1GtTKPaQmoFTgt9TABxn7l+cOgm1e1
swzkEjRms+5kRnJPBJsQtRmjjntuS2Rg/jr/l7Xh7uqvroBMKOSFFmdyh4NydQ4Utos4U5SqPHOW
XM0HRazV3MFxjDk9icE1CS7pxb776kpItG65oRsUr0Ieh6O5KaMo94fFje56dyywg7rKeJtzpryb
ag4lUwaGq9k+tY0blHbHfumtyXqP4l57aIq5vCprDHT7BX4j3txq7alQX1Kv7eTGDVMq2wC0bNU0
WnWQS3vi/Kyhje+nmHpQDjJSPEZUBRNLMEJGO03ZyyQIw74S50lHfsy26RZLOZBvtdB2VujtHNi1
h3GuXSN7KxOcDbVX1xbn5xRjUGTcNz3NRk1DMZAb1s4mpulgY4/zY9orKspMgkYduPGoqj5rwzTv
nHH957lJfC1k00+V1apLTmuiT0vFmayjF8srH0Y2CocOF/mhyR17G/eMSeqRHYpp4dCwHHlI5nk4
FnLZ9XZH38Wy7Buqwzec5Z71MmzO5imj8mMEgR7rTYprTk+2oNA0P/HwnhS9eoHIkPi1gZqRtzMd
kdhUt0OOhxlqJHrpMN13xnw0XT71sroEVbmzK4RavJ1FMLvRaxxalx09tFs3XvhxOe+ncJm2pTnv
Kaa+mIa49yeBJT12tFNDeYc/qZGBR5xp26+/qWzIaoxZce+VNhbw7qZAS99OdUn3iMOiPw/Zi5Hb
T3HY3det8VjobAYqOztrvAn/eH8m0arZOpSoixwAXY34p0akHrxFeqZVnM3hutES5IgkWHDJl33s
7R1I1DxOXuKGdpOsLY4t1gSqr9ErRWffeaSoN9WSvUCHK4NRr5PLrzAgengPY815nFdaNrCGuOKY
inEQpQUtGW9zxzwySicu70UfbsU3tdZ7pKx1Rd3iIs3bnRjDk9HPV1Xq3mawQsNYBdPkfm06ainu
y8+w+ddgzMY3JvEXQ+R+YMs3dGntC09csFUdLkTYYzeu9MpP3SZEm8Qq6ebZhPtUg2UC5ha2Gh9d
1M8nti+l3/WGuauJGvkGpYwkcWaw2PEMM0B7dujxzKDe+rK1Lz1c5Oh2imRK4X1mobnV3fbcqaKH
ikO5b0Q8B5uxzjceOg3QhWciSl9ipZbNZFgdZALEZd5x0rVILivzsw/HW3qHuW5LqPTKndPbbChw
thHLB8jQGs/93O60EfJEr1O3VprQhlKlT9uKj2CTLuvfDD8zq9WXluEDx8oxKKv4Yxj4wgY26GbP
jZit+0Ih2UjOebGGbRgc2rdDKG7KpgCX27tbcOV+GppXYxh/WPbymK27SLrb3pRBIwk+8Od+EtYR
KZTwTo14YK1zUY2roR8TEAYN3VCdq1/1Opsr0HnnRpjfD82SbLNEXrYCS35T2uCR5vRjDtnNWhOD
Tj2eyBEJ/a2nYYRP1lg2ZWztQr24Nitm35PlHYc4vSpGKCupKWN/4nqPLN6JpU+3zWIeIpP7xRrn
06IaPVh0uFMEHNGJm88aJTQbMLch2A12qaKsbpfaGTcaFJIyIXo62b0futML10q/WSLabqyGkpL1
04qm/GWw9Mcq1nawIp6lRFVXqBPT1F6GhfalDPtsNT6X/lhH27aE1MxwnvbYtjLZQ/C0RH3mUu+7
CR3fPpCFg4iacaYxLKIDukieWWSwBssnk887tMEhJKvmUBnpCYnjPPTsOzE4aB7VWd82Fi2wJfYV
D54Ig7E1fgXZOLM6xp6dSVEMlQ/Q5JF/rYKuRHnbsbhuF4SaTcsSCAMw+9B01uneW59w3g2tvKem
NA+pTXZt5CP5etZqixc3mUc8d2y741B7ZSspa9fZWW57mJPlderiXVsWL2nCRTBwHJspHqT2NCoY
iNv5I0mudqN0qL9ADlGc6ok23rg9q5D6sA+9uKI5xZN+lzFW3LhquHZC9/XrNtIhV0ita6l/opaO
ScRgw600AKEMWCG6zCb/u153fXeeteOhkxTgRnHzvlbNFoaGlZvXnJIQ36ZmpidpQsdh2thvR098
6iIa72lqHdHY2J3zzVYolGvYZxAUaWbeRgl5yUZDgHnoYIRiUWJO3tcb0t9U/GUVE3Pi2EKVqI0d
X7UClNJcNvqT5w63pfSoaBX8RaOSFrgau9rLlLqJsWTGUqTDPfubgc6MjJrflBunpdibBvfHMBNg
bwatPVrjcqXNC2KxFLi2wSUpmfmMhaqgtmjgc1xWiIQIOMN0+pHD0r5xZ/MU2iNzQU2tsV4SGjzP
NAIAQV60t31ZFhu9x1keJ8i2Ok2SO066+LbMwfCxr4YwemAGYNuoh3EIqrH9Cmcmi15iZECKNpOr
EjryZTQ3Zyy30Y5zzNng8QiNFLYrm2p51hg+SeWVZ1nWJBhko/bcBRL1IA2cvDAuAaaZnBzZt/Xb
buHV7aR+9iy88us0ydeM5RGzT3zerY27wP37vdfbeuDk83kkAZKac2Ec9BRPBdHW7E667hObDI/B
jF0zRJ3MjcWXErBGXoRq3htzX5zDzKEYExv2ToQtsLx5xCbTrXsEfX4d2/l5sGW6Befs+o6jkstp
Qot3F6Hv0oQnRucWMydcFv1YihblGsNG7/C40pKsDKwxbg+tF568uZU+sFefyEeHRp/fmhWnIYMj
ICmBbJNN6MaiTD9xTSSb2OwfwMsUuP2mc21R08YrusZ3WZSybnyKSxTpqAoZCtYXqsroNAZljdeH
FcFYsOxg6IV2ENlMUNl6pimnhNgxKZkkOBp0Dc8QomX22dcVBlwq9hQZzcGQFwbGu4x5yky+fMHZ
1lv2eiDmLzHrFnrPUJI6An2Z5ikkgsGGshJnPClo3qQJk+9Pd5P0uVnYL6RJAbtqhAjhDQan/lpt
lQCMjfa6I02ygjqtMtCjdfZHbMT0Yk4WNWFayNAPhEx8sN98is0kr5Qw+cxwu+wSZuwB+fOM8YIz
7dVSFDeF1VjHuLTtA2nhVxDTFTQfDB6gbismHaywGAqruwjPz2WIGXzXKqiDTTPc2u7kMEJPl8+0
zXjM8iy7OoX84mBJIQ5IOqLweDuMqTWBP0Zz9zVMhqEBmN0tt6ZuHw1bezdbRR7NysnbWmxxkhA7
kchUtPKjqGwEJZvHZX5yxpEtIQXbZIntbb+6lOipsTbjPN+ydyq2xbDOXe0y2ek9wwsV8W0qoEib
kCDuNk4BNqop/Bj6atvb3iumq/3YrHPVxDxUWbgn9nIy7O5SARq0un6fjrPcL+rb49lYvOJC2Uxr
av2K+nF4iZSykmWaTtnY02FpKh/8735BNdtWST8BseUq/rrYarlzlTsCIa+XmyKhGHrsGWBM+giw
TPuokvgYSzqSaxxqXQMecg4DDuQAhqpP/5+981iOHEuz9BOhDBfAhdg64HBFdzqFU8QGxoggobXG
y8yL9K5t3ms+sLJqSljPdG3aetGbXGRmMCLcgXt/cc539Iy63jaG/q4xoDvW6wjIyCEutSbfjIDV
vV1wb7tzyH8YmhnAiAOGPUHmVCVBuuWetNkCMnJjmfAg1VrbkUAAT4wTIKqLn0qkUW8vS3lztPF+
VGFGtngnsHmh2mpK9Xk2EaPHCYSNmK840Hhnzbk91TUn5xjCgCKvbjfZq+VKVMEraTFEkmapcUg7
juhcD2cWRDCjcmX9WgExN1qF/0ikP0MbXMos0GisieMCc9o0aC1Y3g5oskFJNPecd6xbuFayWWAg
z79iXOQbmBkM7gRfqMwZVhCfdulR722MhifettkFdga314wtW0DcYgGYf2R1h+i2IEUTVcnTOuwL
RyAmbWxmL4PuYNwsgeSVXfrW6bxcdcbKdsiNT3vI+DCMZdj1DTxlnsnRLfPqFkLXMlX7yYryn1aI
BMM2IyouIyIQsBb+aJUEwqrAr8yVL2aGVGFNLl6casGGIJdLlyp7rVNN7JxGTQPGHOT7ll9L/Val
Qv+ewzjY491KWXg+1qhWhY6fLcinZTzHC/0BygeUdS0uT6sDwBGscGl9lfN3Jf5A66ueAzAqcP24
qPjedJBdVKRT4AIhLYH9AwgjPfYxnLMbdL5DXdhofSPp1004uKjFchxxfeZX+GI1VSldSUwgdeJ6
WDFL8kvJcpKb/aELGJikEt3LRglyqhtHwKJuuQ2TomXtrvNJF44CZG6VO3Z6+2BkNU9qzDOUAQVu
7PYEg3A39c6BzicH5FJnXhQ4P3OV37HMnQQeKyXjkuGj1xdrIgGMB6Rvg60sYG2MkgF6Hvdy363/
XjPzL7K9WfvEAovMuk+uzM8oQu24wm5sjXclEm3lfxes1Ik/K6UwvabKigdShKKNJMNmQ/cEi6XP
P+AcsHGdCKiYSay3YGyv/FGSMbXqFzMHchAbg3UYfcdDp+i7oNbr+yDIbwarq3xBMEr6xidK9fnF
ZK3/BPsGH5zFfNmYj+WS0GsRnbX+dYe3koPeF1aDwGRQUZRaxd0wU/4gKth0hEqjg2EZvGoWmkm7
GHHv93amuA5CcDI9h8dphfLwiRCT20Tsu+0nM1zIt014pVMl19BGNdmFlMd5285IPFJ70MDiNNI1
FdywmqYOu8SO+oMCSveQB4HKj1vYVk6mRj1ARKeiEugD9ugVgjcDanLcuentNwpg1VMklAFVKcC9
Alnfso8bMaCy8v8uWe2oVhDFJykxY+gphqh9HSRR8E5uQc9ZxmtL3sJSr9A2snQdmXwpdvKRaiRC
c6qarqy6L5LbGIHpPbKjPHW1vAygMspDyXav6sB3h0nykQ1l55p14YtVKzEl73hXp6Mkq7MLaly6
+XuUjdDq1ceGQZXb1vyQROf6zCz1BHyX09NhpDAuI+WMSI3jd5NiVUDlyU1K9yKiAuySaWC5b16s
Qnv5LkFiTcWyOpu/SlbLz0uBXErC4bZhfMalYezR7nBE5RjU7fpGIhWDOY3XZOzoEzKL4yuX2ddk
GgR7DzVlQy4JGZcBt6lm0kgVrXaJLWAcU1luW4qlzcjWBhZdNXtrhUt5XzFLUcGlM3PbGL38aCOW
GN/jhF5poeg0YP8KQN3IJuzb3IhpY9iLfkj53ZntcZwmAbcZR6MarqUDqe9oZ/MXQPKBpzXW8zr/
yDQq6riZH8uGN3vhS89zsrlnWI9R2j5YYb416BatbHoEOPcVRCwwDOIu6l7NtoWh/ihFfZVpCWS9
m4+5vrwAOkq5icUX7gsJvI9JbKnOaFasNYF8vdEKkjqgg8zMahgjEINebBT8/ow36/oQz5wr3w2f
sDgrVJN3W07D4/dfiFZZ7jEz3Yyk+cC0W2AjjyZGD0hwvndetr04Wymrr0orD4kSXoL1oIzn4UMG
hvrKO8/IXSYfwqw4P0FEbyqg1K5qV++ahY27s5mxjRpjn3oh/cVBBA33zusWAs+nQJz6iEyTudp1
6sz8NIy2TZs/5ZCT8mQ8NGGKVkCfieCzkfnGof5oNoFHVzeT3KG/SJ3a0K5wRUi9eptwUblsUg/p
qBbelKYIg9ElbTSQejGyLDmcTQe4HkHpdnOdNBqfRsHRUTb7SqWf0bQSCV2v7Ou1+5lq+8Gwar7z
wd4R5uPCxQo3TK9vcUJ1MTt0LKLkLP/ec/WIgTdETm+7kVJObZb7yZi3cUk0IdxGV+9nrw1JVEDq
zfhNX0c/8QAq1GEp05INMKdd4UPa3NSC4N9EDu8R+h9nDamH2EvIraND7hoyi7Fp7bg1M0qsdSN9
27jgWE5nMsUHvgEmacyMrAkl8qIWRxEpn6Awi6eMRsefFoPFzDJ9BgVxLE4aG+itqBAT+myubI6U
tPP7gecjF0CdYJv6KDhRtEicZun8ECcT0odO//x+Zdqc50020Us/Sh9L+hPWQBXVznjJjYVHNM46
ht0QdFZiqc1YJsUXM7AsQZjCK2lmYEhlKXcVgz8G8+lLYdeM7jDeAfV/58t81xKAL9/lipgsEx0n
2Mc2ksku1Kx9hOHSXcrsxFqAAY7Ma59wow98RuQCpehb7H70AyPdO+uVWAZZ7M3p1HoL7ZdQeF+W
wsIi3Tq+lRSnVm8SLkO4qgJJeqVqR8qV5i7kqPSG9QAaBrQi4Zw2CPSEQdG1wmTD9LUe6S+0GpJV
hGJ311ozxUo9vFO0jC6ZBFikSkpZ7NYPaka+u8ZNMkJgwyflOURBbWY5P3D9H5al5jEIeASSksHJ
OMhLpCaf6mjhyRL8o0++Z7G0kIvSQegmEmsd1P5YzyO0yb8TuzwPMtthC334ntamBXOfMmNJNaS/
4RZPLhmjP20mGcUcNh8JSDevHqaTLjHMlwJp+1yufoWMW7SJcAkorfo+NuahqxUwvVnrMNGGZvZd
t4ZmmXvpuBZlQDKVuUAdpvJuF8M5trkolT76wJrM5FsA4LTHikeN3UuccAo4pc3pycLfi+ogxOVJ
I5J082+1q7oNrwV4cYTQfljx6UV98pEPKL+SEL1BmrCaNlY+yNyF+xjBMjdf99yk+iu4E9KymkX4
XKCNT+mpulbNUdQUpF2F7GY348TUix4f1BL8gFFqv8moQh5qAKDN1HCmQgHKEPfN1YQitwHaLFkn
ituSDDgcKuMuc8LLTP/KmP6jXq/GmnKfG0YzfTJN0CVYA/K3xCiOZZoGE9iQor9QjCzcxusQOh8o
8Ql4iP68PPufBM//hGlLSjaYf1WV/JNPfjVtpdlH88/UINac/Mo/5DZrLL2mwWNgr6zjvWT7+4fc
Btc74UIr1tKSGkZJ5AZ/cWniCFDBe+L1QlhjfgOF/pDbGGsqH/l+qmUYKFhR6/8rrq1/Wj2zHTP5
PRDYmw5/vnVb/DfyA4sEFrMydHyaVfLeR+PdkDmnvAaOOI3/H8kNMgF+2N/tf/nNbH4Yf1NUPihR
/v43a1tFSaBaAY3I6Xd1J4kf84VRyUPPCvgHgcLLtWf/PvnBd+R3bRH8AO45gcQF48H5bKtC8roZ
7eMcK4QYfceHU3V227EMlWyvDVMburllpbeuW2PHpQKf1zVnab/IXjzhF3OOM4PTCGPFvZ3AMR6U
zN7EqbnP5wqJMxwcTPF1za6qOttpyaitCKhG2e+WmfETBzv64D3h3/dd3TygbH1vbPO+CVdZnrJr
KuHKDrVGBoMDBR3LoOGxd+SLHbYRAvGe4woq+tacm9MSM7M3wP6wLmcdZPQeKN5t7qRMy9VnK2ie
Cb14q6r6RUKz0RuLcGEU/baFL2HRWvPQT4b52JCmAwwnG9TjUhsY1CJw5YpK9luZm66RYLpVNMD2
hVpX17qJWFlBmnQbE7mog6J5J0L999wx2M+b8ehAnHc5qGhG2bpxNB7jrE1cDlHWBP22mNO1mxmP
YjK+bJmdSyNCgdkEhyFL76TdvRnccgswNMSXNWJ5wzqRhUzSGYiVJQdS3S7JHmcpH4VTeGqTvHUG
eKXwJQ/Kr6KZJGNAhytsuJ+ziHtT244zdwXqswdsa0S1Rh9w5vu18Q2dLeADz3B+B2uyFeDZZ4oZ
CsvxZYG+xsiWEoxKqKiNzVCn5FUTvx6cYCck6Xu1wJsuhAfjetvl8SXsct++D7P3WEOYriniMJXx
D8mu2lPNVwtBb1K+tWG4z9scVHjtW9QWWnhfRqUbR1m46ULMMmTC5Qby7VHeCzn6ahr7c1yeGz4J
1Zw3ThbwkVuPLFBqV6L0XZAdWORhc+0V8UPFY8UTodU7PWyvTq6fF2j4QFcQiXf2Sui+krXyimXj
EfGSr2GOSPHF1Hsbw77KKC5UH9J0V2TvDB2pUTYWAzHLyHEuMjD6Nc2ovZW63HZivDNTpkDZQr+t
JV5I58mYgIobKZxxjvWi+97/BMWnyWDEyOfNLHYm3LyJfTvlIbuC1hl+FUz9g0Cc0yh8qER4Z+fW
vciWdYznYVLznM5+gFZ1yRKGWpZHlfUGKNcfJg0+kJ9FsKeYpmJj2ZHyaJNaeayS5zj/Sf/wgKXT
XfqXVhqZ11H5EeO5iWbrt9R/W616Chk6x3Hsx3HlTXVyyuPmzIlM/iKx93go1mhRPpcrKhh3XVyJ
hGCDbHkcWUvGBmsqbWRM/AnIgfhDdPm4FiBPGI2TI4Guj3UYPnYaUSgz58CKFi9wcpdJjSKsoet4
jZJDOPCHyu6bLvMhRAlGkSXTgekkIfo01XjN21dK1h2bn5IwidoAF9GEp5hkHKUOD2Xz1jWPc95v
ltUyscj0klkEWc7zL06Li1M0P4aw9nJlr5p0VbrmMQnzbLpRQlViNyGTp60eFXFL21scR27Y925F
dZcqNhKMW7o0CsYJ5JN4c5g9lB31QSd+RMG2YaBZD0gA2/po5MsdzWVKPKZpJPshMu/wkfoLD9JU
zLt6TumrLsVyXlIcCl0F67h0tak7gpVVPLbNT8yJe5kzRhcnPAqu1uVsdxRfrGvHWr7BdKtQrEA2
anlZmug+akyXT2W0xH2MMWSqTAC45nHQwxe9G048lKr62BM20Vv5Q5r3+1BhBLKSy6uE6ewSHFhZ
02cPujto+Z2JXrLS0sPipEfNIiCSZappvIt04LVdfBnZvRtZD4r1wOKR97pjQxguN57y+0hl9DKG
XzEfTVUtt4VDj50N7SLfa+IHCAQaolUFQwYmfRAaO1yzcUIBDCFSVqzAVQaW+pPFeVF0nAqFLRhe
3md2zIBanAwobDlItD7ej4Rdh/NFMWzfwXXrRIxbdWuLSeWERNqv9IMJXkptVV/9DVv+TLP/KpS3
aGZiN1GtR7L9rGBcVkSn1etESj3IWX/FIsbGv0FokmxRPHnYgx9CmT/FNZGZymGa+tXU7yrC2jMC
9zgv2vBZcZqdrJ1TqBG52rUgb0uguSwPxK9So0ilNHYHEXuRhLcEu3Pov0yVDyqyGJVSmdY/+bot
0CtdbXNDkIimK/mhVF5E8iw438al2oVtx6rc5uieb5FWvJVZcYQ2aG6sKTm1fbdfrPyrsY1dbHfs
hhYkTICjEiM5BwsmnVC5mwgfKoDgbJxO/VUX7bZuCe/MbXijhtxClnhc4uiryoPnIUJ+oFp+qYau
NTBbcIZdU5snTLlva64T1Rf1fnC1FIIE7MzNysMUOwSuDZDL0PsnJLZwwKqN/Qji4a3Lt3l616DX
oQPLk5jZ4FEM4iOcunt5CUwe7fxcKo9lW/sOeopcx59lQVMMSP40Pf3RBqRYHdipciuyD3G0kzXz
nQtDPJTLNRvGOzQL7hJhkQ9YsK00foO2qExoTO2QgXx86oxTKK0ddL/ewDvT0M6nQvf6ZtdQ2wNU
PM283UJqXjxnfqI8xeQW7PI4OBIN6yrlibOtTez7ZH2702EPUXU/Wo5rzwwvUsWLmn6TbfOyPw7r
GrM6Uxy5GY9xMEcfpqJtTGNg/jl4hj1fhG76bN5/1nP2XqvSY+PhpejXLN4CQ2WLObzPafiY54YX
TkfqPo67G0NEd5leAh5Cs/FGo9rZbbtLtGxTxctWT419FPLFTyZ5D/OdUrwULeBp45LObxJR8CjV
PY5Ly8DQ1N+XVeglLagcvHbjdOhYIcjQt7nfemqn3pCHYE4PafSZ6r+Md0vv2B5wUjwL1JS6w1HU
7fspcXU9/SKl9axOhrax9BsZwExx8USy5rqzJYwlPfFp1agMboxiGMMTnVzX8mDO1yS3fax+PsPb
M9tot8mqz0xUy4bgSNcIA7fO1Btn6phA3XN+SqPHxEPWTPISTNcpy69JepSUfgV7WUaobmOwmSYa
nnV+gSop/Bo7enLjJpsZWkLkGYgYhEAD1rgWclOjvlMm1uJsb3L9ljGLxkDIbj48ULdBg2e1H0L/
md7G2j4EFakdhn0ntXk/oBXoO9Z8IAnRYaCH6p2ORpELQ6mfimFmmGA+KUzws4FpfUJ6oyo4jDgR
+Z5ifOWKKN2FwBSBn64Nj2r91n3V8CxV7DxWrmmbfhkByeu/Ku1YWz8wkTwkJUGZ4jBnJGEO10XU
zmZIl+PAJWm6ykRgPR8ZGYv87XL73Nd8HZJ9RrCdEzV/CrIewNRcztTuipjNd9ikFtyAyK6cTcJB
fZVLI885BEhmSEmrvunJjGomC+tjb+BA3SYIFD7redJIipzHXcfqIa/N4EdtSnV9MWPFLYayZBhs
iJLEydKQpwyUCgqRMSTdA1r+QdcK8BVZ4eDeCgv4YQDalytH2GQi/cjZu1bKaP2ymLVfxyTTzjpB
q1jtnDTYErs4cEK2C1uSaQrPutCHP1Tq/2Ut+X9LqDgq7xUi9P/otj/a7gOyaf/31pY/ft2fe23d
+BPDFx00CaUdUj6Nn/gHIUXDfG9iW8GhggYZF8Lf9tokHwKrs1ZbBKoT2ta/9Nrqn2w6d5h1mG6A
GMl/iUuH6OYfGmASPYRlIzAHdKchy+CP97fdtsKRHY85uP9gsDkFkDkCpwCYt1ntGLvZWl4x1ZuX
goHaLrOccFsOxMCzy1y2MkcgnTB58rV8kBsn0l0jV35nKcGKZviQqf3RQMYSIQHZA8c72GPwMSYh
Uiw8qRt0Rqk3NFPtiwLRajKqvlGQhZAXN+iyqK6t6inUROulA6hFYvsyvx1YQfIqvPa8gYwLxdYw
k9grjPYiOVzjyT6mQ73rq+gNLQwiTfYeg/bK9vCgBozjkfKxp9wpZoa0rnydzOhgT+11bssZN2nv
Ez58R1fizgqcbT06Agxgt2UGh44bN1Myog0S1ud4wWMvX3ApKvzPTZI9Eei1m0J5tjL1uSq0wqvH
+X0Yx1Ouq6t+PPwp1PwrasL7KHS6A8AY5mZRfCMoAIujShRutO5ToXr6ZlS4iWxhelblDlF2vY2t
YLg0RY1wOoBU2vHjp6q8BYIxQZjS+iEG9+Ip7zaTsxcBTovRtKEoNdp7oJA435X9aalstkT66I9G
yJRv6QY/Aa3Ax1OITRg42RvGBfUtiXL8wngpHURuOn2JB3Qz3acRUp+yFK/FPIhjbKFtyvTyV9dq
z/j+AXJO5XNsBCBgOzHtp5HVTpSVX5J5C2FdCO2I3fBNkyRoy4wnf+71/Kmw1V8tjD23JMDWLRKC
i82S5fKEIQXjiNMcwkq9iC4lS7l3TrPh7GOdVZUFErXkhkMhQtnOG+KFkVlvA236OUeRPOpon3DK
5k/JGtaGWYWZbJse2jll96gjpFCacseIyXNa6cV1mVMAjld15g8XSBixdajrx3mwF7eNxg8lsHBl
zhgjk+rLxppZOQmFmsGB2yUNMtUqGCNXQudyg5LgUH1g8diKwpcjwVJxPf/i73OLGud5aa3WG9GT
o82rn+NQRTqePYHHLlgqOqNLsAS051FfV+tipxPghvQGGPCqc0oFzykA6xUJGFj9QaOutcKRNedi
+kbc1a5pGU9DiJIyAirMmoJ1PSBHlknJdiQTFRY1HvKil7c6HO4QMt23KUqC1FzBDpruh3b8ISYm
RAC78yNDQ+kGBX2O2afDUej8JEXVvTZFktyFGd+zA/Ghwos2kDzvN2K+z8VoMSlApdylTKbUFDe2
qVgouCzpDy3/vh71n2H25ThLtgUb8zuMqudlzI6yiBrPUaB86bq+r0atIQ+84mVoZmVXcZuzzmIa
tc7OAhFVQATkRcdruwpyG8DZ+PeXNK9OEsCbv0wC8CNw2ss0aoYXWeTZOKriBtLczQ6rSgPV6340
c4JkY0TthVCHjTMyX2SP0jg1LAOy3KaxO1lack5Fc86I53ZzQpHdMMbp3fVnbTQ0t2m6L71hyT4z
+onmAiJFni67pZAtpvvuFnTBmVwRoN7oE/dRVFClYr7YJKxxXaEoiBtVobC70/aYXi+MOX0xLo1L
EJxX5CFaYAr5TvKxTUzChgqwR1CTjqJVDh24PBCLe1Eq5zTkcp+r0a95ardRGY+bZVkOQTBeG/6S
6PsJBQ9hfaDzERsjM4ofbGGuPMgHjM4sM1Lya9ljg3FHEEoluRkKDhNjcScbxgCKQsQkWb+8y77A
1oFsqVtuNqB1InVfgia4tRrUlU4n6jlrf3R1W70rOl80grb8kisKxGpDkZ6WTgdHka5KhmIy4dAv
oruJgaVDCUf1xnFhzWLFS93MST9mWv0gOuNpDCrWd7W/INg4yYAFuqmzNe0cQVe1wBVXHcULwcxN
ooLAnF7tJf5FkiJdnOH45E7LkzYw1C10Pdk1fXrMWU0jJ0VLK9Odimg/7cLfqWGhBgP8vq2jHM2n
eVl4jkJSFjZwNT++HyPSO+EMF3XkBxN/hbmqyJ1DDpARo93xJDbs0KueUjnNn8Bd7kW/bJc1bV72
+SvZsSzvoyqESMDWLofjgChYde2RJ7ohmW2TI25ppwmEKuuesIcvvQrWjL6Lt/OYbFNz8Gd6Lste
U8eV4EWhGo9C+rqZ32bmDx0298AlWmpfh0GT2iBsQIut1ml/qufuszLKz0aT266Yr4iDfWAKm9FK
fzBfPVhT/ex08XUlnJIneR3yiHT6cELbk930SDwWublZdHwJdnNI+5l2Q7mPbeuq6uF7GQesQgvl
kIlC3cpZs7dYkWzox+gAjDrp3klOv2V5tzegu3jIYSncWaL1S7XvAXoXOvYn7vR79g2pL8kqYV+a
obuB20KGOddJe4kGfYfMPTljUgPOQBMFTGWhvzLZUBYxqZeDUU7XpBW4C7k2Y515Z1T4idY9RGny
OwfF5tnJ9Iyni2Cw/oNSrMFIq5COYpbpkSzTB1gYpzAergnAVgCy6Ic661HHdNsNyW4uh0tY2hdI
MKeyrs+TcNio0q8uQIYmiKfORAzHJpnnAJXWHCkwsTljWGue9Oar7HlpSvSYa1GgTP1pjpx9LQd8
FBBL3Cmtr5EMndsUKM9F1V0ih76qSvfcmAWbe1kzSBUCbjh8r1i9z9rhhEnmJ8sbrwha3nLpGhWf
ZqXcFwLQW9xfx6VlDa/fYRJkXDY2qw40PKeLdVYt1okIFBCpcbOryXtstcQmMoo1rBd2wuORoNnY
A/BU/jCTcLrTrOo35KHKTbPkHDv9Y6cbNeerafsjTIJ9Ftdg2pTBQTmSnPoSv4xGoqeZAKUwopc2
1ajzRsrCoRmZXlnEOLdhfTdE9eRr2bycaYLPQdLreCoYSC50dkyYU3fszIMTlEjzRc4dopUUmo2M
WjdRuf5KFNpGzBg50Z7Jecy8MSh8PvnINRgWdhSP2EFyy01V45HpZ4jcjgadvVbmLxFhLSPC9kob
t07ZcRz2KI2hDZjdXVJ0R0Pt8p20MUNIZToFNvCMdMBn0FrXUK+nbcs1z1wCu1McEAFJeLUUGzww
vAvYIp1Y2HhHEuU5yYIE7xDKnkhND92i7K2YOYstdFgiJRKOlpIDnbTRkYyYpZ5mxPZdmDPbE0l4
kCHE+SL50SxIC/Q1CTRUByoDI1zn2agOikPRhzwWImKUiyLbohbfYYZ5ZOdEaWynL1i2zkEa+fb4
a8w42LMc8aGapS+oQ8+CkIJN2OhMCotu79QzW3FllyuNh7j5lXy99d5x4l0X6U9ixRUu9SMQ5IPO
wnurLNo+iExlV/Zi39uVutVLh9s7ssD0Agnd2KySiYW1WXW01wXpONB89Wr24tdULGScN/cBJR0B
wso9PsL7dGx3nWgu84g6USFbk9lNz9iBTCDy1g92CUDH7Ox7HQzKzlTmH0GpcAhPUU3tk5Tbeiog
jvSTyT0suHDFGD5BCeKtF9ROrNDhJTfBvrFSLAIjNrGI1MoDBxUpGSEnbhRTeyQY40kALf24TJB+
q6skr83fcBBH6HymxU31+Bm7yw7dF+kErdcD69rEVoRgwgxuUdk/tiaBnHNSX/KCdTrDPF8H0BwY
r7ET6ttogTpYw0GyU45Dbi8+0xxFSBgdxrE7TAXjqWC6cxYr2eYZU+SRd1OaGAzU6mFWPZyaftwo
H5Uz820PD4vg5jNk9qMdAIO3Gu6DrLV/ovih9gv6o9M4d6LitUE0PLWU8yo7o6zqEYuf8CPuw3S+
9k6Cc2gmdBgca4S/JXifO4tBRGqyqGgxszl98miMw5MSOLEfwnqxs5ng4ZoSoEZRulUbKV6V3Giv
Y8zhC+Ws9gKnXZUMeYypDhlIQr04tuHJQTiza5v+GoYNbgY5xxz0AQNo5UijASoms5mFZQVeIUt/
KA3zRDUhF3EkQ4881RhcbM+iimVej6ocV4SEDUJDYDOfap3APHVsJFkasevUtfqu19GgUiKeaoXY
wcKixgFp6RBXwHZrwhajbCw2gdCIasz7zCtnoIn2Mv1y4KwggsF8OynmT0WO1WHSqDDGqDO8Tpgf
o1ae8KkYW9H2nlRFACtgdtV82aqyjjyEOtHeVMcnWSA9aoa7RRMKAuZY2QRxsjc7NmX8UY6NY0VH
rcXsGSbvWaazSO3RvlZK8Bxp8lYxAQOYndkH5JjmvmzktNdCC4WYoSuPSaXeqqgFXWbuejjDT10z
fUZK3vtwNG6qM7/MenUZ5tDTlOKtsabTd82SU9zBbX6o0+KVzwNjWj7clESXG2mIXW0afh3E1Q6t
U3HR1uBMMyJJKsseW2UUhwFm1h3IU7YGkrJ5UpLJS1lPuCP7wyPeynxvLjTtxHPc542mXDPBmcMA
FRUR81bPbJKLoOnmNkHExYjwWcUAsB3SpPOdiJ1kuMg1IEKP2BamP6CCEE1NHreXwuN0K13s5xnm
UqOC7urBgrJoiH8Yin3MF4BVUZTZfmlHuxIj7wD+bdJ3DrHs+wp5P2cmj+r9aOTZf7EY5b/n5IuC
CyXEfzz52v37v+X//m//+39FH8XnPwy//vxL/zz8MlQC8Jh7qZLnB8rHGkL1x/DL/pMlVc1C5QHd
EZEHE66/CE1U/hP/1kKYwh+DTcRfh18rOdgSoF6YWAGEXIdp/woe2JL/OPyCqwG8GMWKodo8T/8A
10ikPSLvWpWJs6rYro0squRNLsr5nGHGrTbT0HSax9aVWxXVcCY3bRqP+KyjWkfv5rDPibLfigYO
KZAdESVlHrimSoqc67Tm8IX5K2nX0B3Ldhe8pxC5ylB/qLFAhwAOBucYWXb8S+/H+sCSPb6bh9l8
wNgzH4KaqFOSRTnPQhEaGOErvUt2Vl8ym5dp093X6pDgmFqaaKfpS/iAPSPUsbeNy69BSRgUKwsX
wNJz0hdIAIjy1swPlkoZMu058ZvJemicDLNKiwiztVEfIm+p0OjPjAVE15tbrXfA/CZJ/GVAF4c0
Ne4J4gEgrNh00WrHkd8unXPV056RPXKJfbgwrMc1Lu+Num8vVsPwYYqFOGBTH7YyrVM66xrgCiVZ
fxcp9FBAcieY32n4TLrH+CLDLHlYDK4H+L0kh1ODhscyKKWHVtegQJx79UaZXXqMxJZ3o13vqSRe
nnUNgieu5G6VXfafEBTrHc0zgS+4LLg3VIurbP5irpHuuqmIzkS65J5M4t5r1LFzl6WrL2kl0L7P
fNH1UFaEYNWZH0vVAtY8aD8dxER+iUDnRyrLhegmu3lIcgH5QGScR0rHCoQGs7yMOEEfS1svL1kx
ODu7pG3k/8u6p1LturOFy/s9HEirMhIK0KLUCecFQ82ozAxHW4AsZHjgURk3792iq59FFXMJhoWd
bulpP7uxZDXCk3RDQKseMBaOJYTLKSgOA0kJs0tscPpJljle/1Y6VwlM0O2q2VFdwi8X8HUANp4X
JtCYfRIoj5Woht04iXe7npi6DEZ3ChX5HgxddXJEFxwbO2FXGWvJxQxU8yK1jCZSR0X5xk67PcMt
Su/VWDVWNbvi9xNLE8aoBN5SnuqDtQG3zTSgmDsZ7rgmq70uquisT4HmGZUpevwgQp0OirTa6H8Y
7/9JxjuLcJt5/398jKMQ+4fdxR+/5I/dhfYnyl6Ob5R4Fs/C/8UD60Q2yPXwxPKPwd+wgNb85fgG
EKyzQ1JNA0iOAG7y1+Ob60Cwr19/lAVkShX/kk5Qc/7x+CbRgd9CZT9C8yZB1fz97kIYsQxUOUKb
Dkv9FP0f9s4sN3IszdJbKdQ7E5wHoCsfbDaTmUmmWXoh5C6Jw+VwOV6SG6j19Bq6F9Yf5RGV4V5d
kZUP/dBAAolAKsLlcpfMeO//n3O+4xQhdCzs3UiE1iQ+RCu8mU8Rcf0yJ/tk8rxo17VhIjcmqVdT
ZIosFu+EG9BNqmG/vo5iywfPq3QCoa03dfhtR6LNmg1VsQyL0VmrxAahqwsXOKHdOiBgfcfWrXMu
x54AY5fkF+ogBg/bdx2z6mMhtahZMEB2If9TUWtcKn0dKnYbuPo6wjB8nLtbN2+ae1dYvOnyoDRp
2htDroQJmuVaNKT5ltSYCUC1pUsJTxbM6rM+KIRtHPlGsmwNX2Fo0Dq+tNWAWNtzt6JkrVFxg6XB
zDZOH1QrSl3oG0sImEFnj0N37eWxuRnsxnq1WjmsdbZ7rG8Ha7CXutbkRG57/buWoVNIhcg7ZPNY
0kWUo+V9uPb6hCVwjXc8yBWkTY5Z5P1ObPtx+Jy07rEQjrPjO3ZJJhbOlgZNtYXoJ9A8nsAalXzp
yCQdk354EIqvWHyRXNbiamfgFPzGfqU5BNq8sJF6cEjCXj251kT2TSRW/sHjqAdG4KFZT9VXmZ2V
ubuu1ROwXVoEMtCp1C1t4rCJ8e/AsECgBXxBggNOR2awvhuJNhXW+AEHX/A3dhv/JKwSf3uauVhi
cjMGGNDFKZYlrrpPqg3T9xapd+lH2kvahehTI5vmGzEaNC/2pZ1e2zHE3cKMoPeS0XRvrK4ZnwbR
2rR5G91+NFv8DmQm2K9TDlk8Sq8x0uXItX5PcZ63KgoHd48xFcVeOgZpS610ypXvy7Wh+Cgeml2G
CLTIGRksPUMMpw9+EfTyZujYxgMLuBqF+eTZ/F0j1bGYw3K66Jug2Vn0vC5r3/+GRuUu3eYsm9eh
+uC6vwZ/kjdbffCso1Z3LV6TnHS8gjYLjnNV9vVRs+FbZwR9YddEmzIZgy0Phw0xTJx1cdxsRD1a
W+btjYjEvSjNPWHybdPE32q/RBYpEF1su33R6zw8jGVBJDmdvrdE35eFcvu9SpJrH0TwYKbbKhHY
dkLOItusn1pa2JfAJp50GnIJPzifjESHSfHXTiBSDWO1Jja+DHrx4KiEfUwyxivZl/VSc/UtjtcY
9n3Icst7aGS6wzC/TQ1+3aSJs4OnKLWNI7g9xsCMSvrss8mmcMM77z2dtAOF5a9uMew6pcMY6/or
hsqbsGvh3kvjYFk8DfCHsUcDVLQeSv8Q1cMZCXJmevCHstLsVWblfT7xhneEs+8hqYlBsf/KP0lD
a6SQuxfbix6w9dypPLtIkRxZPg2rcSg+dTMhI9yPRPOS4S2IpjfHJs0SNcRJxOCshlbWrFBZwPXl
fWMO6yQZdpX0tn2rPxPM5fo07MK6PphmcjBFehE2sl/Nph6LzwiG234OSsmKza3eYpvo+2iNAApY
md9nlHpsG1XVa5rc9YfOLuob7izNYaZbrAe/M9JDbc+v+jxydubQGetGhxaFvGu1z2kPDsWhEfr/
TV3w9qM8v+Ufzf/4ab76688fNj8+BhY4G+l/+mD9hb68dB9E1z6aLmt/nzPmX/nf/Y//8t88px1O
RUaP//qcXjNV/N+6WH77xP84rVF+cOH/sAzo7t+cBjrM/gAKFhJ/YNvW3BL8+2nNkcyDjNkMf/ls
6+eTfnMaMGzpDme+xxAGIxHv/z8ybHHZ/mXYsr9Ai7x0PBRMOgV+Qa2Fo4W+LaiHTAJRk86piKqg
57Ygq8qqnJBmS2/PnZHZSfd6DMcNMXJisK557xuROo0At+DWo1yXU0JFSBrKChfBGBxNkbv7qOuH
Y03y6N5M6vINwbS6a6Q7vJZ1gbIZ525tHhuN+LbonZi63LyFo2ElbeNBeTADd2elKW9ho3a4xlJg
Vva7dOrTa0n5CukYC+JCndrkwP1qooQt6skBhmVWHcyoNF+zXGDUHJWkKLY2qa0sREytSMrjJRuL
2UQW99ONiZTBDJlP5cVOwumq180av3oF9dz3Zkp7HJY3pknWqxCe9h2lnQWKNENivd49oLXo1ud9
t6/N2thX0o+vDFOqpQARdgAualCF3Iuz4tS6Guyh1bYN3pPrspn6ZBmxyYo3lHpGZ5LPKcAVKnS3
zIT4jPOJLXmaigw3IYZESBIzQnwIj4Uhuo1ChF+KOhm+ScJ1p8Kr5JWWs08mH1CSp5y/Zlm39mNc
J/73LOt4nNjGiJYhr+wITmKp3GDTacFnMKlhSxMraWPqSaxwjBZZiSNaah0iaw6Lix5SAMo+A9U0
XXzbbReizG4cG0M9BkFwCM7Zaa1xzYq1uw0DPINZApeF9vXPuM9fJ+hx60zqpy4i+ToYET4L9O22
nqgOrcQlNhRrRz2/jZ28IVJLgfugZw99mKIkqID1s+0jtFHqYmbJVo+nCOOvry1VVL1mvUBnlBSs
5+T6cTQO2bVe5R+jDB8HXvCrqk0dTHHRBZ6bwMw+TSvf9d8dG/+KN1EfZjXxubfaMzy1Sxnp2IVz
JGU9PQ18d9eGJajrTQa87JIkpdnG4ZNSOliHSgZU9+bYJbZxHvqHMOqJrxXx1N9bvfCKTZ5D51ha
stdugq/AuuaTpA3rAraeZzXySQdzuos7F38F+MA9gLZ1jK54SDpfONsQjC54cTFJDKTYpHGmO1YV
bLMootLM8/D5xoPBbOuza3jS+9CtsBWqUm0d4l3Osk/F8OzQvsH4F31ZTbWYGdvQdZTLEu7FpsHl
ZLPD5j8vdGgYJhYCB8uljjW3200WLIWF10JFXyRE1/e6MKaN7Vb5HKXEMdE562AanzF3rqygjRcy
CM40MX4nj0G2wHdvjBY6WGLb9N60cu9myVPVinA56eVjH4tk6bA1n1UDxFVihEX2Rhn5vq3c8tRI
XlHuhJzttOW7xjOyWE5tmlnLFF9ouhzsCqRZqDx2s7Q3uN9qwzee8OjZd84sX3Ymq5tCa9rvaVqX
2cIzrfq5s4f4lujKbAlEayHKWqY6d3GXp0fKbBRsNamyI+E4aAZGaBFiLRSlGlbsTz9orvOx9jfI
LQcZH38nSFonwAZ/+fCv92XO/34++37+jL+eku912ZSf7Z/+qv/PTlWMKn96qtZTUnx/K35eYDJH
zp/2HwtMz/JpwqHwBp8cZr0/LDAZSB0LZwQATw8V9o9nqu45jq7bcGl91pU/Han8XhzEnNP8k4H6
93vFzY9U2o8f3d9+sv9SdPlNmWDY/7d/Na1f0bCOy2bVpSiNQxVW6zyf/9G8Rz9gqjQngGPILmzd
u/Qrx0wH5THQeAj7brTXQFTlphQESr0RJ7j36g9TC9YuvnYaPNxld62HJUiniP5lYQtji2pGPjXO
HyPDeGidkCh7Hs0qhUJvFHhmvK7+UEGTXFMz6y2bPC0PUzvcyYDaZrfsdnpcIasQF1twXfePeYNs
l9ix9a33GmT82rE2JQ2tlzKJio+hzS3YC4i8eW46r5AEyl3YG/2tym3nBuuHeKHEqrzTqKHCtDGa
RbqQg56/xhB0ou/OIK0TcDv2oCUX7BnNYmeMxHZr7OxSeOsMr7iE9mOTFh8x7T/muhM/0yUUFpcu
T5xDj+t2Lzvy7JNXMp3ibC9uJ1X4r938DaoEXq/VaLtqxyWKKoYMfU1BAj22+DNWWaa0MwD+4oMr
SY5BEUIyxkUKoJt2OpDChe3TR5JIjChu9cDaidQc10ZMEfyoypCbNXPdypxTcK7iAl1NmXgZIh5S
XTG65IkN39zRLVNcCUanE7WW/dEMS7zwgvDyLutMDVihRFEGfOBLky6ZsHpr+VOmCzaG7q1Ocojr
PKg/2bVIVKL0xdHlwsFOAw6hW7XlS1nY1ip1p/piVRWtCnrLiaprkcck53rjxi557FWsCSkrksVm
cDz8Ll1KvCV1qP2GdgI8NDGS8xg1Hu4C1Y0gLliAWrZr55jQoGRpgQcgWsuDXW+l1X1Mp+2LNTmk
1JuqPhZdV5G040x56OCbHGUc8CXYBWJms30D31aQRfnw2NM49FXrIfUt3ndqnsJeVtG7YTaNuZJp
D0Ko6bt8PAVfq/xROqHP92ReKtLJwoLR+Vo22vPe0eun+MSOR+7Kr7UkPkxWlPXXupJ7BKtLFrSs
Md3KzA89MuaD7gc5wKp4zA+Yk9xDWqtBgNcZ+TzROYhrwLNcb4tPfISthCV4a0KnJCpAE4FHt3st
XuO8Bf/FBB3dEcOJ7zmZscNnyAQQlSbLuy29MdtKW3OIsoVw79iTI00UAUXBy0HV3jPqsEYsXVRM
YRIDIaJbxIRb5GY4Z7Kt+NRNSfBkx4F+Zv+Ny6gnI36l1el+0jUTr1130nOrBb5nDHx72kRne4/u
7MZnHdnx3csTev7g3MqzADL1rvuF9dkME25oPyGAhR3RVVZL6j2incnoYvNkmCK70Qw4ukNdh4R5
RvpsXDuRZz0c7E3oK3uj8RNgkSALCH+TOtA3vZaTvDEKUgeCey8/45llZkXyByH8n0fg382Lc5bp
nD5/MlhSpVF3+X86AefP+u0EZAdMby6yAJvWrwPt9xNwFvdYAdAVgFGdr8N8+IepkhwTNjsy1ZRD
EKz+4xFIrydDJeKfZVtIcv/ACYhT/ZehEikQe6yOsd5hGjDnPfQfT0BFm6bsW9tcOQ4F6zd9ppNK
NUeZy1siG0RakizTXpvRG6e9k8VmygtUc68r4eGBs6rZkdSqmCf3KGL/BrLrXLQ5tGZ/zg0PcqaW
6Ldokam4E0E/tJibCzUs66pStHPHafBsS76/57L0qulKn1tFzAiG9BqOzNw4YkCiuwgMHlT+1uUM
Nv/qKxFzdQlF37SY4BPWCCPOXZxfLScu6M6bsIEzBYRI9jiTeFC3p0nqipifq+hKqUzRtmuvHvpd
DAA7X+pT1YwwMOMuuh+xCiabBk/kQ+lSyFL6Nbk7d2Kzd90BZsnXIRoMRiZ97NxDwx/nA6twRi7O
MHBFNDTtYO/gzBQc7xdi2GDQMkrtk7WZ+px4Wq9MZ2FOkaVWblvFxRb+CYyeVKXOrh8CNwA61sTs
gzPvhmu3miCE6dNrNqXBRhFiPpmtxX7Yx2i18FyVvcUO8qAH8Prsmpb+4IJbf6ww9UEwTqsADF4l
jGQLXipq1q5BP8V2EgPp5Rwa+rkbpvFesQ+FUh0WPEn7dII/52hOta5gPN2YBgY+DJXZ7AFICG7y
bSW9mWQ2fTv4rXy80KZyrY3LUT48EPYI9IWN7Mq5bgzziR8r5zA4znjjEYXfjamZDOusrdIDxhhv
gZ28vhjNhKWl8nWoa6rFyim8kbRW66RQp2zdfNeKfnhqVTMwiSkPnl3YB/qOulm10I2uuq914RFG
K7xuflqrHpMXIlxi74hKaxuJs/ueRyhElFavOBlRCDouVkoBFUgxdxGxQHeuM1Xd2/MZG86nbUGA
laNnPoi5W4xvw9fpHM4HtTkf2VlaRldGI/n9PKa+e2s+5rkptP2uyudZNJmvBJWlRYBjXKl/pvPd
QYdZP22m+VqRSG4Qw6TTZ6Wkqt4qCtYanMPYOtlLMtczUo7EEWRDxnXdDhxcz57mmSD6aobIs7Tl
LgZGgVe0JTt966Naj7tqiIz0Lo2m9G3InbZZOqQKPr4ecv88Ef7+iYDoy/bvT06E96T+1dPh/Pik
HweC6f4lAGVDxftv9JA/wkN0lntWoHs20aWfRiLzL/xyJh+moQCn7ryb/Fugic2j57GYBDYLPcT4
h04E9om/HAm25Zq2w0iGcokWQGv8T0dCCg9qzAGhLg0b13zQgJOQQ1nfc7E0rqhV7260Im9OfS4z
snnauCPKlxy1JO43uZuDv3X12yHWbxWYn5W0nnrNnM6dDrqHqgLenjMzSTYThoxmBk/3yoYWxOZk
sDt3O+Sdfz2ZipVSy10pjf11aEkFqFORhSgF5T4hFlB4Sscpa1YOS6JNXE/OCuELiRGKbmWIC+ir
doM3FJxqHbLLr7O1Irm6p00ekqn0PyH0p8vOwjNl1kR7c1Ytq97sjrCkHy3NpWrUFTjpeExSr+hz
q/TcdDLIHDihsfa7SH5r2L880HUBYdN0EAlXbORIujvCu66wrhzL3NNeGlXoMBwdsLksTDI0SLcc
z4WRS8IHOS2fNmc8fW0med2gzUEzCCx0C73qTCqL2VUtGqvqd/mcZvTnXCMQL+kS+ZnjjvpX9HEU
icHCsdReZRJ8TDSBbhNieTeIsvkHBQYkFDqnBA0wpyp9mPHPoRazV+HZ5JzEnL+keAEvQqIZPHC4
eLovFYMPUS03ajGwZVFx537FOfs52SmV8k9l14LHBnPJfqduC9w7PGeufIo30tHYoYmNSbuJUofp
aWWBJ6iRd0yvj5fl2EBMcmk15bnUd+6eRtOnUTkr1w1fbJARTV4eyL58wwz8MLBYx2BH9+tYb9sc
ucnHQNiQ8hkzPOrkxNYasRJPbw5erD4zdwNQ6ZAnr34dPFTTXSIerPa9ipOlLhG3PtnL7atEEYOl
A0GXux7KWhFfUKRaoKk+a6ghbkf8Pm+eC1Q71SG7Io2bnNkeHYS4rKk+d+6YcgiIEVYoSOgn3kfR
YawMKhjG/QvYhGu9eDL1fJPy3lFCX9BCTmp87SBBLTF5P1cQrTQzWU6D+dh5xrfB4IdhDOk+jqd3
iD3koPxFGsCHcN6TicVCILe6t0/7d7KvWXnV2xsXx46IQa67zrGKbp3oBW7rLgF0a9xJ/+xZpUHr
t0cYeHCoFYDmnunfg8S+65zv6LwH08bVhHo7eRu9Q8g2LBxNaX6CeHHtWkuUfreBceqmLI0jwNsj
Re7OTdTS6ucdq6zzV9hQoXjTz8ckxEoZVra/9l3guAQylrjNweCl5YqN9aqVa7vG2Fpjk8peOI+W
sN8eESUXQdce+/pDtt/SuAbCEWZm9yoSDdE3xwI1Jq96/NLW78H4UhfUEvBeNtaZv1XMaqV3UmxL
wLx7EryqMEjr1YvQVc9We61V6M5QcoD0XTwPyEYpSFR4q5Jkg5GtI5JVXXJbd+D9v/QQwEhWs4l1
enyxDgeUnvqQQjMPbhwMePtgFPK6MWBDpM+9s9Rgl/KAcNmFw1M3xztv2jrJe95xXbr126dgoBlg
NdQBcep92FYryhYj4LT9UD1pIX6mDji7WqVViwEMKwAJ8al8sxSPDviPyV0cXZvdDVvYZeg/BPIm
VnE0XxQXLs3Bi7YWMbbNIt1ZHmW4XrKWo5McismNT5I2VfIkuqyYl/ml2Rbl/GRFJzXF+YJHCiGw
4AGG5m2TyQTBU38IZkgKn7HGmCFM2s+/R7wZPfZeZtivfUo3hpBQm9myG99YLkAjWa8aKKTg2C5x
Ze9C9uhxll5T9bjoPHEdNtYFq/G+rLLDMGZI73LlznhGmEPAYZdIoCGzceBelc1dPHGDxcpfYfef
7FVd3UIdZiweLXoCaieYhdmSvtE8utc7jM193CXrCqsDyd4RHT+SC8IveFzH/nHstLcqs46ufA+S
N+l+T6mV8Zd2Y2yciQxpFYAkksEBd8aK2Pfa9OxdyrGlA9Jfxn55xAW+t3LjqW+4V9fATSp8XwEq
tC1T9I/PkCqDwXi1TetU5sZ9awF/zUtvi9wWPOjJpDBh6HuVG3icHfGsO8OlSXPtXGDqRCvbhViW
XVhCbsOFDhtCEXeSuE5531GTgV4wbuCGrrTGuJoaf1MRF6TUpl7SCr9lbOMFHmuz/7x5oYDEXbm9
cT/UzAo++0mOA7EM5Gdh+wcb+6M2+1SkAMLorKmH2BGKsPriHbijC9tQ+j1qGMWXoU07dvEU9MGb
6X16vBC1uaQ4lbuMYgbpUD4ElWWuKgjy6GIK95AzWpFlvUtKgcKn6aRlPXpO/a2l60vXLZ6cUO60
2mfjpeOm189WbB1rPJIUuCbrOnNXZlauTBe2cM5PMJxZf9O3HCvFOES7sbiEMekO/9bo/E3o7Pzi
JHFHp526KF8crOTDU+FZxaG9HL1DheTR1nhzfP5RU59RvdkTMQouzN6ozopJxVDluTb7K/CzSwzg
lFKT+tJc5zmMnaWMuvcG//YiCiikKPE8GdVzV84HPnLDuiM+krBHrCd51WXfpgRaSujGV8puvmEb
4iEMnC8qQc8waVZ5cLLI2LRdfmtWFeW1JVApOna7TlzjUUCbuTH94SmZYDkAnc4073NIeYHe9sOb
1rHzC9SqlLxByqDZlta7nRinyh0+JDipLRPRzmuTnYHk1pQNdawaHqU6BpASPlns56LhvuONKLxT
1/ZHqSe7tnhq++YqKRxKceVTDBEqQMjhnIVcFQcPHfc0fOXGcgQn4RJLzYq22xQpv5uZ3sb69UQi
MzUvRioe9aHeRSyVPOSpsS+vO/dbyt85nxspBM8pMAtPin/nU5ZRUcCghUPA7opapjF4YVdgOdcS
bEoYhAVamHiaIJxyOj5Ek/EShPqNkxrPhnkYtQfETn7u7asRzQrQxov8q5H+cMV6ki0iaAewH9E0
NTzG5cpnF9Hb94X33OgJtQ+RDjLXS188Uok4ficyxzELuODNt1Pi1DT+pMil+FwY9NVeYyVfkv4t
Cv1iOTxdQ/8+raKDxlV3p7LpsRmn7Sjdd7cs9hqBOs77a9v67kFMXzGgA2ZqiANxlNT1rmq1jetD
Gxm4C9Qgmvw2IC+CUUw690GS7cq5JFsFB8gXS92We5KDu0kkBKUSa916yaNLvLjtqzvX+Gb0gNDv
+rBbT+W0TjNyifXA2wZZHZ7UAICIg6L18b0FxdM0YCst7eGzsLrnKItXdd889om48K+m2F+N060n
Ibz5s/k1XUdRR9tEfZdEN9l4GXt7iwDPy5f4ID0zHMp5PW08T5GS4svzQnZpCqec+2J3/VM9mbxZ
uMiQf+/ttY5HKGl8SFjwsq34XEr9Vhb0Eo81FJJgE1aYZTWbq1YuAeFOm8GyzhpPmSinkXcqjCsA
96CGeZfnjQuvuySR2+Td3vZptuEMBRe/dFwPEKAF6RQzVeCnR9MG7WWZ/l1tQy2onGmrKgp3u+Eo
HUqF7X7vJBx+ga2vosQ5sQJfp+IjpsRejuPaSzkwhwvbhN0AhGhkOcADDz6oIDE5YAnSO0kEL3eO
CkNx4KUAsLwVzmVuxpa/L4FkQe+GRUXxeRjDA4q1+r1xbyp1sV0yySM9JWyya4rQTFT32tiAWr+F
J7fN8ExadbvtgClwteRyNtur6PTYBn269/g21eLkOZgN/CfoN631KIr3FPpz5N1TFwEW55CCgMCH
iP2ifymyejtXWjliuiIeg3YduwBk03w/dfkWqNSBJ8+rG6JXW+nStWFSQG3VeUTpxtto9bsRixxw
BABiN3SFRPqVSg0mlfZdtKCbcm5UHJh9UR7taP4pTPs5oxnZ09UUZZtgWHvdkXXMGdPLUY23Q2By
9FUQmY+heRsg+JbNoTPgSeGs7H1Yc/V4aKLveh2dsAzyJv5UBiBu+axifTujqfT0HJckNqdyz+Jm
1XPgJNYOv9cGivjW0yituHfS+HleaImAuLBVr/qs2cByhbFA2Yx2oIDmpkwlsByTg9VZmuoce8+J
2W/cAL0hW3p1zllqXTKQrLJ6Ijt3DoE0TkDf+7vQy+tFymqq6807+zphKjQ7Z2eR2wKt0/oG2Kgj
UUy/yO4CLfkekS0P7Q8w/NuCYFSR42MbijWp5lOe31O6S+a0uZ6yO70PyL5y1pcB+iEJ9aEngnMq
rEuUBVQxs0u9xUly0XNimxepYFdiOw/d5lnm6o5tzty+sBOs29aS341i9dB4cpi8wNAUi7n5yzff
84H36VA+0m1wjFJ9HYkB+659Ep0GJY8m0lzuRwPFxeX3K16hXb3IFBXENc3nvmkWbiXSdWnmJ1q0
o2XQDWAyYeUnaXiXU7hjRdxq2fUC4zrBsFYgLGjIyCVu3DzaKNwQaTBAZewje83xvsXTuCxDnHep
c2+GsLhz4gmrTAnnKqFx8MrUpUVfbZ9twykNr/+5nPpy0/395RSwNBb8//VyCoDYW/3tTfzv/1n/
Iln8+MzfJAvjL9aXEU6HaENl9B9s68FfDIM1E950LOo/SRYWgSSonR7SPHa3r2jR7xsqi6JpzOXe
rHVgeSeZ9A9tqPxfF1S4CNhMeazDcAfMa6qfF1RNUjuwt4md2GMEdEVI+3s3jO69jpZ5LfI03DkD
DX3nScsVCyblNg8++ye5UKaB91soab3IzBKPzGL5WbC49/FNTUc7DWkLHVliOdSMtH671AsBL3Ok
mIhjLNI8LkJCJbS96NK9KBzQeIuoUojXpADK/Kh6HJ91q4Z+Ew1Cq+mZTZN+o6JEnWtlqK3ZxMzM
rXbFkM8zMYG7wrG3nJqcZosOgGsW98tsgHaYa2G/nQw7+0QJCm7DlM0aOwo6WFZKBG29oTDFiVdh
wm7iEPZR+1jVOvywTJlP/gBlZVGyJNapQhLT2W/s2FgnEE0w4Q/BK3nvcldZXbRvtNbqVl0a24xF
dXSrROf3+6YsGH99zhVma9HQAhayq9uyRYf6OcIieOtcneMub3P3rdNb/NimHmZngU/sPUfmeBra
mHsFfQmZ3CFhmDo2Ma0DmFYAQ4Eoo5GQRgfJbmSetNmyb2ugEf5kxhAQPU3a55y+UW9HLTBwG8g4
GvgMUuXfKDGcIa9p3j9qdHOQQ00kTVjYKmD1VlasfaNBbA5QCSiQ4eRbYD9QjHuwOFnzJq2s3AI0
ju4TE8PcpAFLYAhh4WZZxPzd2EoBsDNr0myTRu3WiMGScrnpjRRZnGQ1EXpxLZFVlkEUaA+mlw7L
HFoqiWEDUEhsBhFENK6Thc200VXg+xJvBHmnx/2JtlpuRJWrrSsOpR2M/XJLPEO+msXADWfMm3tL
kWDrgo2fovu7VtBtjBDSvObS71ZMOVHMeKtH+Br0NNfP9J7AoGyvFX1AS9UbDL9JgfWZ6Z1L0ZIh
Z2bJwYdKU/aTkmTssIIJ29xjxgqwmGBG3ulWFty3KuqeJDolWHpgMeHGKDUSCnw7a6ISmeBCRtkI
98hEljHvFZId3IMi3BhJV3CLCcdhZu9ATofvZwlnxT4Inr1vi9nNLEZ5seq6yq50n3DvqjLcPKEV
3WAqlzMqakKE8q68cbR/K0b+p07x948C35iDQ//1UfC//v2teBMUjCD9/LBZ79//7V8DbMdfn/ib
VsGTGyEg8H8Qy2Ga/y5emw6yNkKEbpqIxjgx/qhdk44hFcp/+T2Z+jdHNGJ2YMNAn0+Vf1C8nnWX
X9jjaFtoHvx2JkaeX7XrIlYi8z23WwY8789DHEab0XXaraUccNVBQ0laHtu4c5ucShstkvWmD4X2
YdUYicbaMhihKGQVdV0c9Ul9anHX0/lLsDE3L/7AUiUX3PhAVjRIqVBoyLWgzhaWsUJR/94PWkRh
XISQHQBdNsgfLMMw09c1h8fCwR+9SomVoqAQRyo6cutAoMrFqGX3vI9s+qJUtpq0drp1taI4FyJX
2M9gFK6oA05OJEXUzqEmrYC5o+fOeupHmuFoZd7SrdAs2wyVOPIjjyUaeyEafyDPeEGprqueHpI/
vDZ+s8790Spn+LMV7mfQu+9iX+AvZvPDhbPx86FbkQKpCQD3FD6wxNAD/phayJgb5CKH41ZHe+op
mKl1TW2hoV7ZftTfttRav2p2/dHH3pUMm7lKqjevDSxu18K0x6Vbd8GFGNdTXIqJ53oKTQ0h+Ujd
jg+FF1CeTNN+A3b83ALOGfjxrcaWNOqI5WyjKCU5kJyEKGa54dKOKS0V3cSiyraCmahRRwdBNShz
oeqXomtIWFRWMRJC9uINdElu5COL8LrBUNv4eGudDOoTkTwqCXOziq9EqKWUv4XJdtAYfMMQfKft
eg8iGsjMQLJamBLWViOLcdOPJsxmg/2eVmbuuuGBuwpMNW4pZu3RbLTmBC07WGQ8VU8qdpyz6kgE
YUAnqUrBzS5VjWdS92OJW7fxsm05tMUpgRWhoY2DS4YD1dGSnLZ6DxJ1YqrKyuwgbElZUKIbbQp5
1p1uy5z6F+BONV4oWnaTLV1niFlp5NzUDi10cS+uKyozgKcPch13IthTspmTO7PDY1AM4crLwb6x
4wt3VEp6q87znT2egY7sX9yu/ax4TMyw2Imxq094HrEHRBadJ6MINmlNHIDFebcJLHmTt5O50mov
Wij2ZktCN96mKlE/3MLyIUKM6bFr6FjsdGN8ExgpNyn7RV4kXrcqc7Akc8Y3Q2CrUOqQHgVnLGWB
S0N17aHhHsfI3evWg95V6VvQ2XJlZEOyFnHCo0Dxp5sokTHwbPhobohTbrBtJm41qk/xRaTxQ6iP
zkove5iz8/+DB2rurWoqtoatJbuyUumxDooc8ju1kGO7o6+GqyJ3i7j2r83IWskYyaZCVQwxkawc
Co52YQccKATG1NsUc3epqR80EdM2Qjf7Jdand70sTkrxrPHNUJHdApWaKNqCVZnhSHHrbMdN1N+M
NtsQ8CU57jkzARzpBfm+KJ30YKblJ96JaJspawNqnIuSpdj5JvLWdKJp9efv/V9Nsrblw9fEkUv2
JdBRh39+5zeTSyBD0kjPi7TmhWvjU2Ti9YWplqpG88w9Z/HnX/I/GXPnrxlgcbJnGxTDxi9fkx2v
ZeUZsG9D/B/2ziw5ciTLslvpDSAEqlAAip8WKZtpRtI4OZ30Hwjd6cQ8z9hMrSH3kAvrA4ZHeoRn
ZWS6VIu0lHT+hUSEcTAanup7795zfXvnicFdNYZ68gsuvgUyVaJBH40hIAoudF/ikoiIxc9Ja4Lq
QpksdENjb/Y12+aYtbBjDNMmQKOBY6GrmCe+1aU7X6aT31NNxAoPbLdifoSq3rffYE7yt7Mg2yQY
tjdjxKC+8N21C6pz26VEHkYo06+ZBFKXDNZOhEj+k3KLeejvyy0Hmiu55Hm88Sbq6N/rshI/UgXu
fUYli7Y1tnooClTMSzcryl3LRZNNG6ipRUzCj5OaWC8VAGccavQQJgKTyByv/cpdaP91+YxzSG2T
LHEv/WIMMQMMH/uW8mTnARkQw6uSQbP3ZWdsTdlylvnYBwsXJ1EJoO064qpOyfXbZoMaEyksnJmD
tnp/HVe2BSVZfSm7MtvGpgLQYJi7nAnpvlzAZZGhqJ2ZU5wTEJAw1zzV5sd+CXHi+qAfNK5Gf1My
3ejwnXTz/ZD2wSu7QcPZhHP4xU5n6CoEGYsbyOP6a9cRSLG2SR1j8RRlc8QTn3KD70oMnFtwUgqY
I4qnZQydlf22gC1NrHbDGixJzf7WjySQrKFyoTXICDbXzjSJSsLPnIT1CkCLdYJdTWxyJYIaHFi9
pPHmvt4nwBORMzcScU431YOxUnUQPk4Qm4kHh3xxbcGCgLmNRSvftaMZv3l9lveEb/RQ4702Jde5
4EjwGQSzLDVfoiju1w4Ez44Ex1WVTp/Rymdr4sLi61b3R2voko9xWsd7azGw8pyzUJwR6JHcaURH
e8Ad2ajAhMM1LGCNmKleGfrwmJy7yAM8yCzzwY3lnbHMqsMyB6/osw3HuALSzAyirRfKu1kNJB+V
FHxlc+fnRjdvbBTiV3lQKlo+xBrsHO84ecI936JhEFjxBrIto5pea8OPL5yuuJNjGBzY9JS0r2ys
ZU1scNTHn4bQejKkNA9om18zw6Mu49UK2kUZ4OHryVrXYB8+NQffzuSOQEBrF3qduRYIhonkg/Fm
lRq2WCf8MziO7K1TATkkLg5zNdkPiEs4L3qsR7PjBR/72X0QSYAT2MxjF5FvTvRVyV8hQBy1aQcL
g6ac4ucQs/bWVkmIBjknXLipj6RR611ipoBLSd89CC9PsNAM0Ngm+TVYDFZTab0Y0jbY3+0rDaMr
ZxdxGBEPBH1JMElNPK8HvS+gC5x7s96bGfumLMduXWdWhgOVBL4C2ip48SRcT7HBKE3b3aVqi3A7
5aBMUUgfudQY3Fnru6X0c5+hQHHAHF2E2dQaFmwsb/bcJo66z6J1OaGQkCA9bLf7OBVFvGucTH5s
gWY9gvhKrsRMllkngErCo2f3uliL+NAaROBgcy2NhPE323pm+7C3nM3sMyieg0GhxEM+t9hztQ28
rhpY/BRPQqenKgJbHxDQMRizsXabmjVkDz9vnrpHUn7NjZVQOdxgGdMaBpto4Rir3JxSaPWSSo1c
BkFcvE7jxlxVMvQ3ve68x16UgqVDajy2sWxwCpTeJmaTfdXalfvBVpnFinQAIpzo9EtQVumVrYp9
ObsRyevp50b4wNEFyZ+J8N6CqZrW/uBpfOfFm+VjXzDD5Ek2NkqDyOU2XUY1H6P5CGyG6AvEo1yf
cozkVYFjDDjfv31E/6I7F1spkO0/aUX/I3tpppc/tqHfXvRrG2o5vyhGi6aHGI0j8V399g2DZOPM
tW2sseaioCZB/XsfCkfDQS6rwd66aEQtdGzfJXPSWQAalrkMEn9WMicXRdzveyNbWkiyhfDoe6F2
qB8Gkm2JtbCDXbQRZoduboDxMMMDz7W+5taBbV+yncz3gGSZkAApTAHiR2FzmsBzE2FnsiQOo9C+
Q+jkqiO7HTY7VuD210xd8uMYmOnHkOagZe5IihLlbrkkZ1HBLL9WMfqiNk/vgmCZ0Jhsx62tguFX
rILY99bJXMesecEK3TaTtk9BWXqvoc+Fe8+BKJK1Q+vA/rMoxlOdF36CtU7q57Hx6ivDxiy3Mp0x
f6xkF9C6SracvkVCDAKdgKRexoLJB78H7mzOrvAvosDJzsCZ01OkAwCEAzq/jyqHgAZxB6Lz4CQG
9y0YJ+Ero6tg2NlYMD5lFUcl6duNT3gERDSWepAzg74ut7DO5HVSEdCDZBzo5EAar7UJ0Bx/cAxj
OJGMlW3SaSQyaMRKWQSIPKYB0GCkEQJOvai/wpW3yFWcqousMhHSGVBtj4kzknhLfE9/MSUtgTZm
RHuKJD8jt1Bjl4Z6lhykkQzsQ1JnoV/no3khgUh/IP4gyzd14CQHXRhDeRejlC5ZzKkeJUfim2fs
0MztfPKS9YYPJ7+5JOX9lkmaOZFVZNqfAgGgeRN5XledZBxnyRahtQ0rKWMEGUbmZYNBmrBJWz3V
rV1i+I3ZNntTFZxJNwrOeZwPb44XDfwcbbGHfFJed0pRTNOwnLYz+R900HmBdJIB3D1uo3bevT+l
/56u/dPpmuNgTPzTkvbX/6z/+pcfStqvL/q2Y1GUNFfA8AEewEhsGdb9WtKUhPmGuXHJEFRLuaP3
+Q4bgPljaZTBpmljKvle0li/LCwhNiOSkDQwBT+1Y7HeQwL/UNLwnEhCBOnDqK1YTf7Yf2gkom4l
WntDkcCsP/Sa4Q4p7rS10iAKpIUVTCCrCV7Zj0sbGCpWtU2FJjQE5zEtCVmlZCDVRX1Qb5TqSD8x
p9GAc2iMw12uKHi7jIrFNp/US4oAKLGmIDWz1FWkISQG0tiGpTUM+xH63dM896K4UJTB8RxNbRzu
gBminJJVi2GR44M2wcAzdgnpHEgnnUprIuKQm7lHIeMxcZnxUfuLw9wbTwRd75LIpDJjjIMg9Lmf
qiuWkqvOUgcPqbEvjozL4eJgpugmUMZESeyEZi5kaKYvrRWAZaMoKMA+EfmKg518FlnlElkq74Ts
7wq/vojIJsRgvmsnpPz2Eu9AxR7xVZuwZLoI1mWePRhFTBPqb0RYHDsDU2DlFerKtPJ7hWnnGqjx
fVOyd+/Lfm0i+KzhmGrsDar8hF8PkQ6RhzPaFxOk97YtPd46xJjjY66uQSK8eKG/s42vtTiRo37H
+AybPOpF7e9xguO2Nzajy9KFGATGtXvHue1ZGa2E/cquZJdkgOw6KDGabC+rpv5o8dobNV6Jnh15
A4yibe2DQRatMlCk2OKYVgXZF5I9d0OyFVCoHQ77+2ooX0BsOohKCf698vWTHx01CysxfCTUFY/K
p6TUG6Mwzk7ZHk1961bSYu9kK7p6QtWK7o0o9leW0Zys9GtDvjG6vW8Om8Yh1Pazx2Z+WFfXBC9y
bx8fSJau3YMgQc2qb+v4ZipprFjlbOQjkpIKuYv3mUwzdCx5exrqx0QBo6Y7vSCsxlSQP3cuMjbU
KXszveadx0XCz1PZz2GwN6pt+rRIgIiOCCGYrqMMeNadQUKtUxHFpDDYEOpNr7llaLEtWB7GoYnA
qdv2gbiG+4RIMDevnPqMpifhqZk3ZtCRyVwV5aKlXdcEKwa5U+6TqTmx0To6wXQGNbah0SNnTzzU
k3/rifI2cw41Ku2ylPsgx4dbytdWFai6gj3DyWMxLkcYBKO8fx3GGI8xIVBOWGL1Hx9c520g1K9l
FrJGa/5cdNWBlc/9SM9kgBrPXFGefbls6poihG8h0b4zYNypmvQgtsOPmgMPXRRJQ377lk5AcniP
uzA/2lZ0rfmy0SKxHhDXghF1YzK+yMMkTuFrjQIzksG+iJE+1oJ2oAkvsMoGhJ81sas2jR15rxJX
K5+Yaow1MwbmmSsNLqHfBxo+IU8qtOi1GbQtA0LXfsdNBJWNSq/mlrRGU6QeMhCRZIG5oiHiNzIi
ZO9wFOinnLrp4FtDD1k3OmoQTNQ+GdkyDckvT3VRX9W1xB6ruGqVx8rMKv+eVqbd5rMNdFe1qs6I
0TLa5sLpq4GUuVmbj9HopNOKKBXglCHipvSaP4p+wnG0uN3enW8GIDaPFDgD0c+7LS5fHHLAq+nM
hqouixObQ9tGwNwUaPFaLn+7MSTbDudn16/h3Ub3DdmgFwGiaeyqMMnU3mIua99a40hMCEPuECt7
JPWj23UG2lXkgvPh3yf/vyaxoAtZMnD/8V7tP95Ab/1w8P/6mm+9jPiFuR6BEHhssPq8Y35+Pfil
9wv/I9sVVA2/Hu9/O/hBCWHsgXtgCoGHTy2kvt92au4vXCBQV1i2y7UZv8jPiStY3P2hl1mWc5of
wrXADTGEXf7779KDoahVZW8S36JBp9yylU7afaYS0iNspws+xYPNjXIwuK5r7Ne7MslYgOW+XBps
i7k/xWLiOPAnk/DOLEhCBxScDFFxeil1O5ekLIpGN48KMZDf23rc+87CVhC5irCBI8A8QJDry02L
F8Sxw8q7qJveRNcKAIninMGD3qnMB/cB6xWdQh5VSXmJcty5HnBwF0in7nSdT/faZ8qzEg7fMctn
94v2KNeBDj+1zAM2Pekv28qJbTRwM8sBFtRkY3AYKzw7j47TLf9Uuw9exoNouYN8Cuwu3AtkvcQx
MPFZu72fOvsCQfV1wygyXanGQNpYZWF+n6WCoXTTORSzCe9Rug6KcMStbsjbfCRHIxYKzpx2+3sW
QAYCefhpXA+IfUp4tLEeQcfemgTi3Cb23L9mEfoGX5coCu2qf3EARV8mC12JRFtASxJ1qFqpdwCT
nBcYE7E2bGK6d0iTacUAm5oUQVb0jnEqcpJgVtqox09N11b3/qTzl2ZhPw1OOl6KhQdl2oV3WTox
qfDRUOo9AYpI5RP4UahfiEpbkFLBO1zqnTNlqqS5wbwfxoTauBflO5EqeqdTDb2VITVr6grJ9EJo
Kd5hLeU7uAUCDiLHCppL8g52Gd4hLyZKWs7VJnGIwSWqDYnGGOLDTYwu97bRCJVyZcS9+6zzXr54
aCYex8j+WhO6cJZ2Rj6n33cx+YJ2Qfah38TOS4Gy114NXSQI8ps70t0A5qV3vMURStTITDdWl+Bc
c+AfIP8hD6uhzK/Jm8nuQ/66CkJ2ZjKHDbr2Orb4mK9tPpLNNrVtDBsI6Vrb4vbAuy+fe7Orl/jY
IPnS5hmKioE20drpSIbO1kzB4+y6zp/yvXK9BpClk6PlIwaBaD3MKN1V2wIjuI2n5nr2Df6yNSPS
CB1IxrCc6zbWaK+jD8AUosLjiLAUv1A6ts9ynNwXfyT4z7V83DjOKC7Cuk3UJgvq4dke8ql5/vmz
4F+j3zz8NzA6S1P6ez7Ptyb1/y13jsPAYXHzJ4fB61//Mr1kPyJyvr3u24FAbSevnUg43JZ4OGFy
/8b4dn9RYHM82kDvBz8o7R7kMfRvStsCu+jyou8HApMtKjhwECEEWuifORAs98cDAT4OjSgrQIVT
hXL1wyaK5CaHNBBys2PaP/IqYVtzgtRgO/THIkEQ1nNVJ8U0f7H6JZYlNLvnOCLB2ljirngkxN0U
TCw/LPs1b5ryMpQjqJw8Ki4guL04fsQXzJKrzvNea7t+FKBhwaQ6YuVkY/jRBWVyJCaGfZIK24Pk
VEJ3C+W06817cOMdaddefiy7gbkSONV1Ty7KioC36TodU66nkS+vyqqtL/ia2Aj0bNzlkV2dsjnQ
W7gNwTlSVoBt1LybvQYdeo2xhABL71wN+kPUEofGeU1UETyxXWOM+lCRHcaO2Q3XeSBfEAbE68KV
qAIls6KiVt4d5vsLDa16NWrnFBQT0miaK84RL/TGnd9JVy1rusdGsfDBYOvvMOPbH4SekofQLL2v
ri4apuKluIhkRZ6cj2/DTUfUWNDTd3NfL2JvrpbKb8Kc33Z2mSB29vOs5Bdl5KQhZ0F/K7tYX6ja
dS5HSSFo+/IRXFKwb1ttbCXrjx38A7kyTa7wjMHtfS3HD7kdEWqKrQwsWVkgCkYLDs6yu+aPZ62T
IievKyAbQpDFtjFCwtNQs/cXTiHbbaQd4xS5dPlsLdZh09hX0UwoUOrXWE4GUmak+CyZxG1hA4ld
zDmMgoZ1VOxmJHvY1nDDr1p9iYyqumRWpvbSCIOHsBdkUQ0moEEW99uqC/IjOS7NtZMHakcpJ3aI
9hcZYQPAs2yTS3AzSNRkWV+pwl8queui/XF9nIuJuQ9cNSPPLurN+2ci7JZW0wyjm1j44YOY7WjL
SjUn+cyJ4Ob1uj22nQGyrq6KcTW2DoU2CvWBLCq9FR15F6Poxl3tDCQqDg3mvFmz1oMFuBL82Aww
xvLGLmMbbZAfCFZrBS5QC1XG1u1H/9yOIWi+gHn1uhgtVKB+jWWuQM+EDqe7wpLVbpjVGLg+yYhR
ZphuCydosJ9KRQZRVR15k0nrSw3zzlgc2bIP+VuWxaHLRutiDkY4an4RvNnulGMEgpvuxyLckBOp
7lhaErwH1e4kMZWu5pLuPp6LCvke5jkfr90qTrr+ciwXF++oX+feIcJHeuUxyiDGagGPp+56RjEO
xNyyjKo1WX3LZMYNPyNyJDN9oSGIsNI35qzDjZFgwqljAr9S3sCVDu3hyggxTcQhgWFT1Gzbyco2
iF0fAdsCWg61jWIfzAgqyQTuVaS4FMzhhSXq8LE3dHjRRYTczISXMLulEECRvieVqF7PU/FWaT1u
cqzcayMcr0zY1Guza79yt/tqWKEHVJlolDYePogsGw6mytZJ07Cqcu6g+sHCqoiwQcP+OqE4xQzj
Fdu6MAgtKficJXbXbseGjEdZgIyiKPNkeCNvIZpIBLAxQwqdWVdjxt1riKxxBeQOU6xzZvl39JDO
rqLC9DeQetM1OrFi16h62jLga/OVJiD4yo4NUn3INmZcz2zKX/SjVCeoVYumNF7Upf2iM8Ud3qyj
mpTL0vLRjNUR0ZdZ4sGXWlSqxnKQbM1kuXkEXofmqg2upNNOODwUUSknibHhIQtR+h+1qqO7Ps7D
A7cea4ldCZIGMzGBiitN5E+2RiTsj2cgSFDvg5h8gYH/sd46TRVlZwd4os1YBgYMCEDjA0an4Q3y
XnA5xVk1rxTv6i4iUOHWdweSGBPaHW7oGRMyqFh5iDIgV/UbkSlkNjcMLU1cyDFE0NY2j2ZuUouB
AaeESHSjuauanh9ODtp8SKYcBrXfOR+lW478lHUfABAGvQ8KJR/Kni0HLoZ91xSoC6a6R+9KGHF8
y8PEVcrU45mMQwo8ijX7EaBBgtXXRhuF1qL6Aje6+KC4nU6bYegxUmZp7pKoNhYGpEzES/apgSYy
3dcDD9mEx5ZFUODcjpqhTD6pcD+6nv+rNuffI/h/MoKnQWYGLxiN/+PL1+pl+tzV7e978e8v+zaF
JyoF5AbzY8eRC1iDL/htsUgzDrXD9tgbstV7D1H5PoW3FxsDDblaAIILt+m3u5f3C9NV0nu+Oyd+
gs6kl6vVH4bwrAXYJiKEou83uYX9sRf32z4w2lLNm8nASXAr6pJDKOSBM/fdO8nNC/RkfTKqFoSm
XywKO/LemCRrdXBCYQY3eK61dSJztSe+NJQwcsSCy+kXcE6X2eE+knl6OYcc8KvRIUcPNb39uZ/r
+paEi/FjHxn1VZzi9AyzBA5IUQHkkRFhdOM8PGWdq7YczsOT5zGKL+bGONcKxF1USX8fNEV9q3T5
Nop+W/pTfIzY8yNSwuWNKDRJD56fzDfJkL/1Jb/HhmOw/mznaUumOuZvB3dvSt+ncFn0OmwuRZNR
L4nVHWCw2GSupG3QnvV7oEun+ibeq86QJalPNc14F2fjvuM2eFHpzLmdsYxczvwCFy1e2i/NkHnH
8j1GxpSmvKW1qtodqCJHryNLQEMNx6p/4wehoQ1Fk5IJb43tRUw0lyayJliya6yQFJv6PdDGeQ+3
+fnO6r/TM/2+Zfrf/4PQo9+eUh6rf/xwn7Aw/fUvf6df//7Sb82VAs8NX8wF8smpQ4/1twfcgr62
CNTpbd7V7fQ93x9wi5YMDi17OZ69BZr2/QG3XIEk3mZ5B0bFtH6muXpH6fz+Aafb84RF/AfKaVdY
5g9I75LpRd/wKcaDiGg0mfV9oX1cO8zw50eUbqE4kKtk2Y/hRNTXChbncQAzuB3HybwLc363i8Yr
DW8lavbZSMIH3Hvkd42fWZTZj5PZMm0I8fFqLL6fubGQoFunMJJxIkaAVUZzvJuirGUAgpaNybF5
F7gR2X0BxfHUDPD8CcgGFuHrSjyKsUb4Wg3S3UiX4MqqqFAMk+EwHdo+GXfayokZizy16mpXPyi2
+xCF1VujmvipiYzi0SEUUexpKcDHZF4DuLBP6yTeuek8TTydHbKfcmy53ol0E6OtJ1tbIhLib7id
27DbMVaZZ9RGfXhd2tOSfSjzbRUg4SMMNeakdizYnOusBxiwVez2Mz+1m0uI4xjjG6vskDP41YfE
YrGluzqfj77KvMdobt0DtNHitq5a1p26j7sKqvpY3pF4hh+VABOANXCEboSe9Xiy3QSqtXD6jBwo
FhibrIE7bURgDLy2ovXBtY1CzNTrSc6oudw4ZyNYmB/yUd/+u0r8K7P4b4/6n6/hk+alfpn+iysA
L/tbhbCxNC7jF7Q7GuHx7yuE4KB30RD9alj5W4VY0P6MV/jXiI9wuyxDk98qhPsLIiXuEjboEEcu
TOGfuAKwNfvhDqCAIyO8dpdBkJCO+uEOkAx44tUMVX2aZlNcNoY9lR+ljFnuQNhGdgKuxjnQEbAp
lcGABg7wvcfKuwnn8kJhE5QPWTxkEC0IZb5SfSRo90KD2JOplA+a/TfNiszC56LPnJtumJeNWaTb
RfhT+LcNwMBnlIjDg2OlirhHS3ZbZTWTWPn2qEnIpcMGq0A9XQbdaH5UZzL7xE2IjbkD3A3drsUy
t2qkXIauhnbaW5kxoCfaqspAGc0FFYYkT5d41yi7GmGegKrp4bUqpsB72zHEjhLPWAILSnoxxOO8
KdL8gwtjJRSMWowuebRSQz8VJWMEBq1cwH2sPihw25nV8DB/dqFVdNtuhDjYZcRg3yFrN/c12PNp
a6XJtANLhDczYn7fk1v9qxjHARx4IOJOX5CV0O9KegO2xBLOGLpg2I9R8hFCbvVW+VA0V1ELsmk0
suNslUTbRl5q7Udco5s07uWHrkInmgyOOotsVtetnFyC7oL+ppZkj6/qeGz2DfMsoEpK9SGKi6mc
n4gTtr+M5vzFlV2T7QJnEVEBs8DjKGjNJSSXIE8eZ2HfRYhq4Q4lRbENZTi9/bvK/ESV+VP94ukl
rJch7/+6otg0/0Wx4dXfig3LOtSLXOgdWwA+X1qHb/2G8wseNoxVxIs45hLG9b3Y6F9stEDwWX+T
P/6+2JDjCMOVjDHkQD9pqKPs/VBs+NkExYsbieWaC2D9h4bDKLoakXq8kVlvLK00nPL1ZHnMTlQ+
gD71XMZnUYORtKnj5IKdOqu+uC0EtmbO+k1g+AuzREkoNe7M8qbLSSddObiXefThRHPpnq1uG5c+
6gtuHki7ExSSN11DnDdmsrph0On2CPeNafwceAPDKUWouUUw2dKPBzat+fzepbtLw14urTuhvTGg
TSgz60zlAcSOwUfg0sh4mZ2+9/8ZbCMEwXM4MRdw9UcdQzDlnqDh2BGmxWWFIZGE2XIZsWG8ilyR
nlQqLOA4vntOlNEX1xWuvfLgxMVYUNIYsmyzBlosbrIld9qeswmvX12e0twMJU6wbmCJVgNgyhrS
3iHYDOlpMOFfbfzc9OaTNAZEyrqBiMCtbA7KXUB/V3sVOOw2FfEZHl26BGHKyH2JRgLKyEOJp+iy
igyIPTSPwZ4wYCM8D1EBgrrORje5RKtjfcY2kNVXHf/mQzcXOUNDWdf1tk2iZhP3IExOYNTYD1ap
4k7HGCb2mGsWuLmTvj0XgHlvp5yAdISjnvhkMWueLmDYMmhFbjEUD6PRGndmM2aU+4DxOQryHDu6
1xuOIJ43K2/qyrpPqhwQ+8xpQENWv4EqN3Y2I6l11o53qkoPRup8THTwNNfmuaGsQVcTd01Zkf+V
V1BAsHkwI+dc8LM3rAhoSrJLk6Orhpq8wx6H86KH82MT74RqjomZ1g9gFm+hBOPV5vaVetVNhrQV
L0J1nhMH+AUZYIhw3Vg+oYL1gr2NGk8dsJ7bB390sVMIL2OBTf5NQ5RYxIQIGObayfL86edL6v+X
i7Nfb27yT7MlVi/tD2uz76/6NrtBSGGhFEbBTePkkhPxWy0FrM11jhQKiwbtW//2rbVjb2bDjXCW
lRmOYS5b369taDJcZkEW0RK43X5qa0bp/rGS8n2BPrgeNAyElO4PWzNRxJpLgB42TEuyvWGS4iP8
MqM+1aT+MTWeDl5RFscaxdGNUUt92WgeI0+axif61uYUmqTyhRZEtNXginYT5nFyJM1ssStqjTEy
JZrF8ptTHk82lB8iXubQbLdmn9ggNKvXyiDbWuTDF6VDRBJGP0IH8ZJ9qWHyV01c7gbRR3jySUob
eHdfmMjiZyTEfB2wsLieq7p6xMKkb1Bvds+zKNrVMNacDT0AOt2qaNOGo77PPLd6jaXIt46bdWfc
2uknJxtgqQ0MceinGvQi8XCZFsJ5zgPhLZrQ7ElSZnlzTBinmc+TahahjbFGIh+Yx+pmEoaBQSQP
wbKlNd+kj17NcdFlCdu8mlsrvGmASZ1yROKrvvPrjc4M/VklEkU7MVPAAlPiH2yH2XrXQKvKBZ65
UAhS51GtmagsgT+0TZ+eOojhmzDhS/SBBboxqBa/aD2vAVEGqAaD6TjijwNm5efzilFhdFJNpVfA
mst1Lwy+oc176FQV+QUs6zcDH4e1mCIWJ42VXGYDwFpr8GzWhWV4m3ZZj9TVU9duOTlwWmdiRFgW
3ogwT69N1hJX9WxCo2iSAgN5hdyVWySzqjCFt5e3RyN28TWaaOUEmSHLQioyzW2lY3mVjJPc4cmy
Pmra2s+DEfsPtBS44SQKzK9BVaXXnYfIDNW8D2Q9YA4+Vl6PIBT1btkh1mkDk2BMa6qeAetVb7MT
kX0C3AS8kM1ZNw+OvxtT86IQbb12Hb3pbf8JbQsVsr4BYbYO+QBh/3seDHUFSfOC2b23zgrrjSuR
2EMOVuccdQeC2pGIilZG+z51KkBvikjexEIrSS3mvUEMNCIA2XRBm59rOx/Wqhybje8446VbCygg
JJ+dqyJDwyHa/qzLOGfPSfhK3WXGMw24UFcDKuZV1LSkngRY2NA9gsMI2uuMlXTOrEKArWW5cpwy
v/0iy1lfyJ4oqdZN7HUisKS3MN4ua4tI9T4gFb2GE3CXBY6NZc4hjhEw59qtwi9RC8swKAWRlJPq
TxCqoAV4fFzy2asAqJJk2pB0vZpoIfZWlBRXtuFNJysPk35nlSPyQG5BIKuw8QYgUuTKmSxzixXV
WDVVPJ1AxnIINaLgPR+mKxdl0451MxQUK1z7XozwJMPIEWNKV9mzjbPqV0vq/+1Nw/+4MeOfq/nu
gXm/JH9/pV9e9e0Ysn5BpM/0wOb2zaxgoVR8E/KLBZ6BwI8dwQ8JRxCRWF4wfhSEIy1zSbr67wcR
Gr8/ZAb/xPyAXcWPB5FkvEFOPJICDjj7/b//Ts+HLjUYMyT7G9J3Pg8LFxez0kXLti4JYMiJCb2v
twsbH8wMOAdLxB3BDOJCQdAL42WF2hVHb8Ap6JOWaYiHpBw3YsbTru1nA+k95w1DMrvehJlUkHkn
dgosVO0KMprl6KvcrreMM9clE8oVmoE7WXvByu29bREhiy2bIkO7bhKTirpQz58GBeV4tJK1zc84
mM4hm7rXsKk5NcXGKTz2x9XApbtOXmZiGVEA46Gi7Cmrnva+Xa6n0D6RsPsq42wTOi4HptOv3EZd
zc22yYigU+zAgf81HsBXfweVDGu/uyrBLwfxM5jP3j8Dn4KF5L+S6qK4od+kzSdZZ2cf3z3PKNHh
OoEx2Z9wE8ZjlS+mwa3KuS9+qog+WBekwoepePHDI/4rQjQCcQizD3mbE4w3OXuts509Buus3itS
k3NRP+SoQ4KkOnRDfm975yK7t5gBq04c/OQryfarjptBE4UXvkof3Nw9O/m+7oKz50UH8AjnOi5R
A4977YRPYzR8dWy2P4HJb472AmE5K3LoVUuSo4DNOznTRuScdkYPaFRMG9Oc16PtwZNjsiC9IxCk
dZDpW8z5mzSQ15DxELkgdgMYqDt4fe24ZtV+cqizqZ9XW0Onz8XQhrcSmTqUTQdwgvLWcU+54zM3
WJyp+qFUb+EY31jt4iloiYsGvVVZ0BVbme/BHM5GiDKu6T9Hk6wvK8MnN7ird1U+H0wBNzmeD4xj
HGDF7MsHt+k+NWOD9BRzCPA+MWwnlIOsuefjDM3iNMJesIC/sONjk/uoMxN3nk4fGsM7kxYPDAJD
sF3CXclGf+fT7BKKZF25naH2hAKnqPH0RW4uJmDZ3Y1Jla3brjmbg721zO4yMSnzuNvWDLX9JoXj
hT+EtfIej/pNNs3NAvu8bl2rPpRmfZ16ar5EBsNHTl3p0CJtywX4B0a/8yLrRATEuqkmsN0zI+M6
fe24DKxn6ZJIBvrwinmkv8fbL86jW4FgzjRxX2qN4x0feO4eUIPeZYU4xD0kUoDgYrRu5so8xT1P
mD0BjTLjhIBhMegJCFMSXmVDn9w3VRNdMWOsiTireDu4zhpnr1Vc3ox49AGLEz3QbuZRANSZcA9f
VOFQcp62UjzKQJCk4oykAouYODJZyfaYOaYglwNmQLQGWK8uqsnG9CwEV18LSMsA48XyVgz051PM
Aibdkn7kXgg5Tbg2Cifv1vBNQ65omMutITe3Td2pk9LT1Gy1IpzaYF8LhlT0lXkdmSquT0Hdy3JV
+jiPN13qOqugs8cbP6n1ARKb+sw9YOppq0VnnjW9w81Ig/eEpVqD457naznl7aZtrXL5S5F9Fgh0
uyjeXiIioncs+6xz43BtHEbjtgoM6z60A3CKMMg2BN+NR792mivb1tm9NzXEBhud9nFVlOEd1XkB
ZaACvatZRK0EWqyP6ZyOAruBV30iz4oPCphZ93lqTOQtYag/jnKol0jwZaQQDv3L/2HvTJbbRtN0
fS+1hwPzsKiOMEdRFDVZg6UNgpZkzPOMG+i76Izozdl2bc6qdpl5X+eBRLkkyqlKJxknsrvLi4pK
ywJBEPzx/d/3vs/rexllYimTjz1WSuAnpisZs6KQufWVQjgVodOgjh2gcIiuK9g4pZYhFbWEdJU6
tnCEpwxbTNhXo5oM70MzFkSgOdw1SFtBs5N6rk0iE2Ip8JamOswQREuNNg8S/SSOaR67PsZGimED
Co6mDjnVbq4s/AoqjVGrOey8urMnfZ9TZFYsGZF4YzmyRViOn2PYLg5j11RAsQs2u5AGfZZI3kx6
ZBWsUL152UI0VtvsUJITvkqCctRLwVEVFCu6GzliLNM8AB19E1ghPIuCmlrg8vWmRFYr7iUR0Tgu
msCCd9YUC/odN1JaHSOSRkXTxXZ5oCldwugK5C4N9du6yq9KHS9PXlxAhyczS1zm4a0rK8s6vJUy
CHkqQCmfF4On4ef9Agr0HJbO3BOCVc6zCy9bstJlr5yEBHstjdYJCSOtlpbjffIkd4W/n3hUmTJZ
qMcWTSYL7XQLsH6EiMiclGbgzaR0ZSUBLYwMZE0jBXR+eBJZfEJW8cW0esBoyJnHgYCUbtjejgrX
LueeWkZzlDHmGPRCPw/odWPxkOFG+AGZ1JHpHKsAF2BEteABQendxbqgACUgfVsBVjjWAhptQsgj
FGy4PJIl2iF2e+6Brv5Xf+N3Wd43nQr6Ee/Mr2kVf7/Bwa9tmsXKB5wYaElwYopDGsy3Bocif1Dp
UUDU1Fk9NHof/2gWQ2wbWrckwuhwqqSX4Zm46InVHJwdkmZJxo9ZRB/FJy9n1xgKRMbXTNYt6Fpv
esVqzpmJ6L5YujrVPI5iO7gpalhYkTsYNOByaEtCUHrQSFkE9kq3O/KiIzPouyFIyq+JmUdIKWld
eRuUtXQmaq13FWkiNMmwUyDvQyTKOrZrQXhI+xI1LcUsyjYC2DNjVjaWcoT+jxqGjXLh0Gl2OHJs
ek05dzKDaUmBtIQMAVrCFAet69XwuyITdUnU6oeZa7bVIjflqLopNbeVDxy2jREEYqQmJ7LalSe4
F6BruwQJH0lUXObUkQiIitwgEL80MUHxY8vvoTVaVW75s8Ay8W1Ucow1Rg8zkJe22UXJwpY0gPV6
FxSEUrvs0IS0C8+poZpLwiwZ53iFXlxkKTlzNBJQ5QF/43B9rujNSINYTbqhmgrwfp0CS0kXOjWG
d832Y0qa0iYo2WWwSacn7Y+aJonF80i3XId0LY+AMsFK0cLUYqoGZ7LRmsQUt519C2qzdc8gkNDl
l2xASVOniUqinzVbI2DCCNJi0ghi4R38+Jrwv1fSIuOi/u0lYbRm3PjKOrZZSPitzYogM1tmpCxq
gLEGogXbxs34SP6AfIQ5NY3NLauAKn1AXKLTc2JzKikvE+r50WPrlMXiyYP+Y9FRj+Ohl0vCMKBS
OUEQGBKDLG2r6UmKrCgKPY1BG0oWlUSBFn6GR0aIJ64VkTlfWoKYAAVXvE9NpCTGqOlhNpDm7vej
Io5rgnhzqZp1PnERZUcUA8BZml1tLRcnglJBei9ds/iqMyv43OoI4/Ka2hp5sTmryob5AQxdB+wP
hQ74UYI1jkxbltaNWkvHHdDgaCa3ffEl0gRk6G6VHCGLUUj3azp/jjldCweRl7iMDDmcejqqNQLH
0yI+QYXK7sRhLFE0TCOCCnWa1PmTmHGyWerXYdzMdRMHZxdfJoyQW7G8F5uenkxRLbsgX5VqekZQ
5zjN64lryheFn8zi1F4wHjsHSjEuZOdTJuawchC9sDad24iFp6o1RNa6Y4/wRRWVKQvysSdYV1Co
AP/Y3hFIKOqmns2U0lyzqRmTnHoSVt2ic5JZ0tdXUkZpEeC7dlQ7GSt43W2q5WH+QvShP2behaMO
OiFoRhH2q3PWR4irZV8cxZk7yFiqWebq1zRM+RRa+QquyML2Em3lSMltKqMqlAXzoVYKa85mfO0J
Cv72YIycYSV3/dDFMj4ZcPKrKr1myuXR+JsqvnHsKsISKJ4yKZTwiyDVh4jK551GOYtu+ThU2zNC
Gm4gJM8hA4BodsdZ05yoYQ90WAiphJTPLsynQXQT1NZQRt6HZQxOCsOrjTts3ObgmRqAKJ1fUWrR
h1nZQrQyLAlbVhTd6nH0JTSB8lYJUmDSdccqVKVGIxjYsuZ2A87Qaq+7nhQZNi+kGvtEdQRI3h1C
kUI1vFXJRsGbNY/cBrlWcThYoXs4YZVJE56d3tQqwQzbxr1ShwRBVavIUi/RRJwyWiVpRSDpL5Qw
q2to8Ws7XQA6kqdt36ct5GZZcCZBiiuOjW0tn/Yq35ARSeo47ORBke3Wdn5DvKFzqGP/C+e1VmQZ
Q4Ac88D/3wV76C/+yXxbm1WVtfO31+KFg4T0O20/fmnT9lPp4LGgPi+3Q521afshLNQRB+PxZSF8
nCS9EBZKgw4RcRBeqie0x3Pbz/qgq6IB1IPRJerhHyvOVHWY1L9cijVlECazkuIC5JWkAer4ou0X
Sb5LUpeCkMW79ONL2a4WjBFgXkvOQa/R+CujZRY0wUglR3hU2UBv4vgsik2D8AdvFZWXluNOyN78
LPbZjRRTNdndmMEV2AOYtAAuZTLKmwXI1tNekeZu6Cwb1VyY+rUunUHXuzUCYZUW1WVvmUyErc+B
3tyYtAFs8qxwYn4mvmjmpRBTTa2bUHCMkBaswEGD79JGUnVqGRewH/uRQtoc1DRrqYntXGdb1Vr9
oRonAl83vCDSWJX7lZCDZWx67dgKLGy0ORqCY1kr5mrUju26meCyn7QRIufM8hYdDv6uUkciJlI1
WxNxN81khYl9TIy3xRZJz8Rbk2gR/FKWB4tdMw9osEyzJllAXzTotA3Te0hkcZN89etskgfNnZ+c
tJVwopblAQXnudPhbUpYjzkVpZxgGr3NqkUSeUc+7oomvWygESgCfGA7VuZqkC+ivpp0+rVNEpJX
nkjNnQaUT1fbA4eOUsiL+iaRdzi2poJWTZtcnmulC4YzmFU+jRY2dF6RzirJOykgzpPWjmdGgMDo
SNHU9cJjZFYzhhD0QIwjpVPnEYUt64u6SBQi1SEIG41/KoeRh2tWBJn4EJbQWRrstyNNWIYWU7LC
1aZZFF+TZQTQTR2zoZ7KrrKoeoNHZ1uMVS1ZaH6IhqPvp3pukEI0U13ntqdmRXyJHyeb4f8Y1QTR
hABkKmdG1PU4FI9UMZiG3rlTHuksi+2A8yTUFSla4V92EDRU5J3TnqR3cCvqeZsyzrcmBWWuwMSk
bE65oSe24x6HcjmyffKAymaVp4A2JO7mVD1061MvW7M9JxiVoJOO53AJg8+0JrVK/lIsHFXO11wI
NbJnaESKen5soSLA/zc202oklfZIi4B1OErIqKlFeEHCiP7FAd3IuKopbxSVQdaKEEVuEPIwTGvs
2MEMElbcyqPKkHDvOrPQkz61YkCoWRzTwrO5d2ITKDRRH6O6BaqKRYhssDqTab+awK7WUiSNNTGe
ZfiAyZ+EjBOVoDkgt6e5O+0dJnNMOr8ELYOz9KBitlfaFaI6h0ZYanQKzkKHIkx31FuDx1Rkw831
zwYnt/op8LuaoqBLmLlaEl3rXJ+7ap9Nc3aWaH6hZoSY8ieoj48T3wKdY8MBSNtbRVk19aeuibNJ
1UJtJyJKOjIpUyAcy4gMGQlPNNIKZlqp+Ucm/q0DQa5reP7E1gU+UO26KPQlj+8arX/WnGPCriZp
7dnnldgOg9LsUtZkja5jS95LhMNdamx9ZUSpN0H8iF4GE8LnnujJIybhFd5QdWy4ejdtWlc+KKyB
B4l549CP3K8Aij+RWmFPQwImayu6TcSqwdAgdwojj1K87RV8hwVE5HCSJsBzFKNNLwQ/6T7psB8P
JVqDi4ru0tzqIyLZJKWptSkgjwrd9SMwRMgGeEj+CBLxH6EiHmiiaqw9wkY8o0YDKSJ75HI+AknC
gU1iPWJKeiLJYJYQnAHApMhsYCaVrkBsE4wBcmI8AU/oKRqQjovABMdTAUXB/mDdG4+oFA+1UT6N
mqncWdZpI0jJ1IhCsglzK7dmou5iAfOBlIBZgLsY5rUz4v9EIwTg3rmXakuFOWmR82UUjNM0pzuF
2ROKbAp8jY5Zf5w4kTHXHY8UyEj56hKjuZJb6JvEbNFrN5EXkXd2Lfb1qtDwjs1N4HQ0U/10rgqn
0rXSnWr2Wo4OPCIm1Blhg6lybBOCd+looGtnNQLuZmYbI+xfZnYSNiB9uqvGHpvRGbNXSzmWUXhR
UPbtId8ZidwoeWrVxdjyDAQSM/ApVRgsoniWZ2pwoCrzJvwKLtcRb4xqKte4/IzmnL70pICSqloo
pzptzEjIticWLFkvxYQ5FbJz1egZlINXaM96YZ7QEKeS7ajfI/OP8FP+10p/DGXwkP927fUxv1+7
ry3zQ8n29Gvfhq7USUgoDYXgY3AWCBk31Zf8gfuVLhcCIPgqj3LuZ1sH81haZq8mtZvqC8WQrkOP
FFVU1vTPkPP8yNBVflt9MROWMOgjweXACjv4l9WXTYqGnqUpvW41BeZaiTwSsedGw9QOjMa4VfTw
E02w9ESStOhMBKLezDtDqtZ8x+2LGv6JODNxF0zzHDGH3FHM4e4gibzxsFNn2A3nvj+Q0zWgGQsl
caXj2IkwxIsUUK5DNNQ4LjOR5Baps78oVU3cnZDE2mAqjewjNY4EEK5yehDV9Y1Vt/K8tpx2VLC4
nAedQYXhiTMjj0k0cL173RlQRq6UTwzltu7u4ZphcXYvjdw9SJmSBWnO06MkJYUYqROVOgkUCZxH
5EE5vGPxLAIHPG1twqjqOC6Wgm+Zq1Ao9a9FKDuXXdTZU5KjUIdnMtrHPg3Hcq4svcw46UuKaZDr
yTB3ULRZYrRsDwH1GznIdmQTvTLOSnVaJ9e+ztacOCxiRU80D8itfJx4t5kHk0zWTjxr0Vv63JKj
q67tTwJFyQDj1wd04seW3U2FqA6xhCiHPJPus7RpAdi6wqFPfMDY1tjsAaR7QNl4FJQ0M7NAJ49B
wLKjfhGtiIGRZZ1rtbeGXUd+Q+S3s0cOF/bx0leAksNNYXZEa0BlnjlOmdQC5zBPwW5PAdIfFMQa
jrzGn4kWjExMbiTAp+oC1Q7zH40R5bUYMjJwQEKAiybmQPYtaR0InwT3ViFRTin8Y4d8aYs5RWvX
E7k8T0ouB/a+EemF0TJCGDVBMXuAiz8eV6pyAK56HakF3Q9212rlrwZ+rh77q9qJF4FG4I4jj9sy
XXl6eCiS4SurDVyAc3arLvF2lTEapgsnSCA8WEAK9qNIHri+hjVKIuVT0l54AlRjUoNlKyYMNxgn
dEy0Xsb+jpwYrzuk7yORBqYYEQxENRm1HhWiAmyPb9ShQYmX8E77VlZmuSheKdKxV+LRs6Jzv6d8
q+p7grLZF/ftNI5UdD5hHB60abNm0HLZOsa0cIbMNZOMSjjrIN+kmHq2bSDkqV8ZljYSRb/lQrCQ
xY6ytD9VOyjAYQiJDtP3EdQGufaOlHzudvF02IaQ14ocGo58apzBv4F1RPaFBzR4YOEbFQRyKEYA
79CbMY2MuMWEO5oDM6trxrpPLqJm3pQpv940i6xty5ECOpBx2iVKLjjLYGwYFNUHTHofIHBLNcCa
FoIoCGeG7t3npKpJMwQEE/fluWBa89yq54KeLoIiXwaNddSq5qyAJFZa4lo3nOM6ZszatUctNmTs
U0eSwKu4p1oHtt6CboimCfJZf8fkXJs6VXNqFVU06VXXGGddcicJt7l5hy3KhHWUEmVsxvdV0J1k
IDemtakzW+uniixetq6JHz6bsrta8k0gNXzUsS5R6SPddVCVKOjlkqwOT4ToShBPKrcg61hWDnyV
TODqa+iWTHsNHvziWKbaZn4+6hiN+UnKTifmQw8fND68gsd+GCbJxLOvTJtGdeBoBwn10gjeEHer
E+GID72bvI551OvVmU/SUKZBg3STUDmH3sEE2iGjsi8Qa0iqvsDJIRLUREwxGnxuHnkFj7vNkxtB
iSCVOItGyo7LNF0I7qK2u4tUupAreSoV1ufMFW8a1Vu5jnLdBC5hSMJJZdsLIjeWduceIfkjEVFM
5xAeMzTq/txRQRjhIv1SdrcEcR/rCh9Dd6s5wtiTy68+nhsEMmepVZxGes3OuV3Q+oK5l560kiCO
E5/ph6nVVGpccDPH/uHPYs9Jpjh/qvtA1++LhnBph6zupQ5WGKd6q167YeMttMCt9ElQw7rzNcsR
cNZFegnxMPSDUWHExYGakETYNGF5aEdedEbUinMjAuwNR35UoVqrg2CulEaz8lqZXyezI514ilVP
lWAAuScl4VlRGiHA85WwPYSoJM95KdaFvPAWYhRT4epBYo3k3gsvAWH4D5TAzCgQvVIs1zV7par3
0B95ZIceSJmW9WMfs4Qzi82cK/eiqDh96oW8jLTB1/W6Q8KVYrZGQqVC+4GnyOtndKYZqWT0nTst
NESHTszDum7hkXcCZj5rmZY0SXLhn7zom8Jg60WHn79oywiSJwEFFt1pTgY7zmXSStnQejcmfZX3
3x6dqe+8PTpAlmygVhKHt//ilXRBCJFHkPVghukiRnkJi372+BL7lgT+vkL3v5NwUEdjTObVuwbl
m3WY1OtXLcR//NpTFQvwj3EJ4kBmM4RiIet+rmLlgeYLVJzphqrSZNP5yXMVOyALAP1xAvLTqOeb
dJAqFrMCbkXcQwyOKWN/pIqVBpTVq1uIMQ4DZvmRnw6kWuMkXt5CotY7KAsKfEC0ipwJ8RDi0tL9
Hrldpyd3sPL6uSwmYjEVrCZGfySglYqOpbJ0QIOCOwUtq/dLpW4xCTrLzG4J0/NJHjeN7kEo+qWX
g6I1ogPRVm99q7sGcLyOtHLFXhncLMyUCR64Hr02OkHUQfO4oKkvudhxg+4KGudV3vSo2rNGmfRD
GGolRMoSeAkUmzI5aCNtWVbVzO29caInR5qrHmQdZUiPKRpJeMm+Mje8adW4B2KJvbf7ElGbE4Z3
BN3gMCKyOBSqZB5oDfWoHJQTjfq5SgglCQhYCVBl1CarWxjPEY19CXVnWnrVvHMvYUBNm7JCKS9d
pRGdn66cpJ5PJJIx6uHcUAxHXnWYsDUgd3rioBdqk2geScaJhZSPft9D3xeIkiG4EYrhhFfs6lcN
5KDU0V2q9GRiWBVpzjq6LMNLxj6OANRJ41Lsj60WCYmuYcTEUnVqGlz0TL6Oa31WW9fUhnM1bybY
CnCIxsuyfEgS4zD1m+PG9Na4ZJAyioeqJ8/65IrEbvKp+vTAz+YlHhuyjxc6JyCjTUFowoDP/8zV
n6Z9OwSoNBOLVKwOIDvh8NooR5EUmdVRQbcsa8C1aAjVGre5NCxijmD/Niqf26Az1OJlU6YYToVO
G3VRvO4qrnRRMtKI/KOgsy5aRIVh5n6WmLCgWFppcrcWErOmcKzCEhVOV4fhtIZLuRCspHqkIUNf
cmTx+F9r3u/yQW4WLx4jv71zPymQtHjdw/dWPX5xM8TWPxDLALBUxuW4Qddthtgavh1VYqePXvnR
0Pht1RsE0/TrSIRiUUQ5LfLgfJ6c6AzFGWAPIIXHafYP7d3ZpG+teoj0VIX/gXs3rL761oMTG3BJ
QIAOKdRJdCgmlq+FlzZotpx8Ot1oPnmGGH+2Hl1hCf4wq8UoxsYQzxj5Nq5I6Y+VTH90lQF4Mp15
48nwy4sWj12X6WtWXBwB7YXfBddqTneOzQt2NdM87FuhW4SmdGnoMbJLCnmipc8CHXKJkzAHDiXa
g1kFj8pz8GuIknvlZZpP/F58W3asy44THEh8pWZahrvS6MqxALCYPQP6YTU18pGk+MEc5MGp5Tdz
PytmqHYA2tldNk7Y+4Z6CvUMia+QQ54zbOig0XmeVreiHh6lvXYVYSUqlY5og2EXOHiWy7K+6ZOA
CIdBmU0LdNqR+joi2XNRlvqsD/3PYVNIEzKKxqFci6OmgeSSwXRxdJPEJav8aoo54ajOZVhxcbIM
XLcw8TUSdai0L0igmw6UKaOb4A6/VQZvof1oMwweLYfao/2Q1D066KWgCecIiLrkwo7CUpraTVVZ
B1El4Mc2E3Bw9Es05dgP+sqYd0nfuAtayBYZ12jRiU+1bXdRpHmL5xSCoDXrVULY8HfWyZfIgiZR
wy9Dl846fpmYhdgcs7Ib0Atdvwqe6rd/FVf/jOy0WWjed1x7oVd8b5V56bSG3chaMoAw8fQNDovN
KsP6gwxuEK8xcJXpz71cZSi1MBOSoEC5Q8fx5Sqj07d8uWr9QIfwbW01OK2HvJoBPQPfbDtO0ywi
UXBKaP9JEkrExDvVeTpEeUZsk0gmPKU3t+yFOj5jxqEcixRLTg4rDj/ydRIzE+kJ//Q9AubJHQnN
RZLzX0jHmmVqONGo5vs1B0RI0luif1KZYVbMYWjhpwjkMmoXws+oylrrKuzisyCU0zGu20MKkBFt
hRmBy5/ddg7FfY4nYCJgEHOhM2B/Pux8Y2Uk8h2QP8W0h5oPgJslTbRG+Bo7KCXCnkCyBiVczjhx
TJJp/tmlR4fqdOIRtanxO5LSM1lQnGocMlVBuVdJQ5AzSmCEdO2cuGhv1uTlqeclKnq8CB4NHEC+
wlkjEQEh+ulRKBhZNq5abQDpMq6hsIzyAewXhqE0bpi++MRQGMoS56FbwZmXqCjtTkCJl3XIvRU/
DLFHwxScRobT6bM4SZ3bKEn7BkQy8o2zWlNLshA87ZJ0ruRajKrwFDNXeecKanOMszM/zGSkJ3rv
40CUC4t6rjTDU7vJ9Ju0KNlT5q7ZfErTRtYXepob4640ZQJK8QVIp2aZ+AvXjKRiLICjmJO0ozJ+
IhAUAYslMW+LT2u7PvEq4zhT6xU7uIkf+GObAViFTaVWjGUjN/g6H1rzKDJKBiOL0reLWdLkaTpO
ZXRQfbKKFNwJ1m2EPS1BXh2B0bPN/ASpozFryksZvEaRnOtZMs/1YES75VJTRql/FVmziHE4SOhF
pFhUd16/aPToIsgJEsNcXtABSERlHtO9kQLvS5i7+Vxvza9GcFoOCBGrSSRAsfGxBhhg9T+rCNss
8gOcmPgIr+zOqoe8O38oqEWL52Vj+Olp4sXlRfLH/tH7B9qEOj+ttndJFZfDGTjeazg9NdhWQfd4
So/n+94RwjVvq7p/+OtfcFQPskNGmRRfwx9mHWESO88/1j6w/MrQcp5e6MWl+a03//77erqK7/+b
V2e+ho3O2lKUuXdXvnxmWMTIIvz6fe9/6ygv3j/lJ60A5vpooIc/dAVev3/aS+YwqXp5j7/34b//
3vb5/gfF6K7vHw0pYicmbipDuuEPXYKX71//QLiQTB9qc3meNhB/qtuAZs4bZe5vfA1++zYwSJtj
5wBI8uk24H2+vAzGB8XQKSwARj7+eZqA/qkuA3WIvs1k+OHLYH0AozUMZr9/N8gfTH0oohizPv55
aqH92S7D0Ol6tcv94cugf2A9UOBDm0/vk7r05d1AD4/GM2vC5mZ5Knb/VJeBitl6+q6i4HQekm8r
1ttnw29+KWhIQjmiUwpb7fnjfnEZ6H+KJDLrJHB8u0pc9j/VZcA0PWQv73Y3mAPH32C7sfnyv14i
ZeMDjlp+tLnt/mzv/03S3Y9+G3hE4GHCIaS/fjYOXW70szwdNx//n/BroJK4u93n/9H3T4nEPpOY
UQNZyvBn69lAiUQFxcT7H4+OP9vXAHqSufPXgB6ewU6Y5eDpGfj6azCY2qgkh1jDH35E/o6vzLe6
m/zr8P6x4vYeiu8V5r/1D57rsrc/39Sbi/u//mUoqF/9w6EAf3rth2991n97tWI+Lngvfvi8AD6+
zubXN2/w7Uu/eq3nd/X8lwfeQ77O79zu8Qfd5jSP1xF1+6Tq7141agW+iHgDWau5Pf9xOn/9y6uT
fbEUvnf0W3YAVXj/Gp2Bcxx0Lt+mXY9+k/TOequW5ws2FHG7HvrqtfCMU8ZnSVW063Evf/3pzcWg
Uch3atcj//ofaybnVf51/Xys4T4cThyI3/Nffbfp9u2h9t4neVHFdw+h93ygzbFRtu3h1C/y9Rfk
oW+ObfEg2PWyXCTBm1uE+nYPH+XFQ+AhUfzlp+eT3FwTAy/u81/98ev9yatfMyT5JE1r2KbvekU+
eTSxng+zOWf8gns5Z+81Z59zBpy/h3Xk0xqH3NYNstm17nw51sE6344dxzA9mCp3Pfa5179aW7kY
WK73cFef5PfV8+k9fYQs2IM6YNczPvZ++el++5zZuO/h+3L8UP/604P72k/FFeHoe7jUq+rXrS+i
AlBjDwvfqvrlp3BrTcVxq+3hisCJvX/t9OVyaMrgIdv1c1wxgC22z1pT9H1c6TVdrzdfGDQie7gi
y5//Xq7dNwenY7KHZzp5gm+O/FTP7nq1l8nd+s3DkdRMdQ+f5JBw8N3vDcFujKx2PnUOH4Tr/O3p
Wwy/93D8dVc85Ft1w2Y3tfO5r4tyHSXx1lKoDokM+zjzvHg+ytMaq2K/2cOBf/kvZlX51qGf+gu7
XpEFFyT+UoVvDj5s3nc/eAqaYGtRoTEy4KN3PfYv//Xz/3nYPm0mt3s49AEDlu75DDcfJLKTvRw5
CH7+zzc3N3KRPaxW85//Hv38919/wgKz9TxWhxnD8xv64xXm3MuZRG0VVRopN/s4+XXvrePyYavO
3HTYd71ZpkXgfW9JBGsh7eEBN817ICvR8xV+umXQUg6ZDDufet578d325pKDS3t4ek7Ddf/L37Y3
JBpF+B4eFFOc8Nt3ItbLgXO560UB9bXOv6wDHkXPB9tcdIXgnee/+uN3+uQh9vrtvSvb4n0sij//
e/L2XtEeE8R2vSw///s6Hq7JL397vgSbq2KK++ieDIdfv0lOGpLI0T49v+Ifv+iINLYL0M0sYdfr
wpHvq+07hWplHyedhFvFhC4ypNrD1fDKLakSY2dGP9I+Dh07P//frWfnkEe3h+UKr9TDnfcKfDuc
9176J6N1+MvfgodiuxRCEWXuYd/2sSN0eevpRvrXPnYpH/OSHOPnT+7pS0nI8j5W2Y9xuQ63dylM
ZPdRd36M6XRslW+bYe+uX8mP0bp4e9bMOZ4v0h9fRz7+8tObFVDXzX2s3R+/dttdRxwyj0znbz36
P9b3/vh+4PfOR2flfr6ym9vvScKy6+f4flbmjqf9z7P6dnyBj+/GfO148N+V7rPja7ybdrHjsd9F
mO947OW7FMsdD/4uD2/HY7/Hd9rx0O/jC3Y8+HDBv1SvnstsIR7daHuox9/3rO146v/MHLLj4Zfv
ScLfPfb3ZqvfVChvJ67PArzv/drrcfLwL+7Ch3X+b/8PAAD//w==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ln cap="rnd" cmpd="sng">
      <a:noFill/>
    </a:ln>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Pivot Table'!A1"/><Relationship Id="rId5" Type="http://schemas.openxmlformats.org/officeDocument/2006/relationships/hyperlink" Target="#'logistics_classification_da (2)'!A1"/><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83911</xdr:colOff>
      <xdr:row>0</xdr:row>
      <xdr:rowOff>43089</xdr:rowOff>
    </xdr:from>
    <xdr:to>
      <xdr:col>7</xdr:col>
      <xdr:colOff>299366</xdr:colOff>
      <xdr:row>28</xdr:row>
      <xdr:rowOff>154214</xdr:rowOff>
    </xdr:to>
    <xdr:sp macro="" textlink="">
      <xdr:nvSpPr>
        <xdr:cNvPr id="2" name="Rectangle: Rounded Corners 1">
          <a:extLst>
            <a:ext uri="{FF2B5EF4-FFF2-40B4-BE49-F238E27FC236}">
              <a16:creationId xmlns:a16="http://schemas.microsoft.com/office/drawing/2014/main" id="{E8743ED6-A06B-44CC-A8D6-EAF34E376A15}"/>
            </a:ext>
          </a:extLst>
        </xdr:cNvPr>
        <xdr:cNvSpPr/>
      </xdr:nvSpPr>
      <xdr:spPr>
        <a:xfrm>
          <a:off x="83911" y="43089"/>
          <a:ext cx="7436312" cy="5191125"/>
        </a:xfrm>
        <a:prstGeom prst="roundRect">
          <a:avLst>
            <a:gd name="adj" fmla="val 6860"/>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449936</xdr:colOff>
      <xdr:row>7</xdr:row>
      <xdr:rowOff>163688</xdr:rowOff>
    </xdr:from>
    <xdr:to>
      <xdr:col>4</xdr:col>
      <xdr:colOff>1181760</xdr:colOff>
      <xdr:row>16</xdr:row>
      <xdr:rowOff>174683</xdr:rowOff>
    </xdr:to>
    <xdr:graphicFrame macro="">
      <xdr:nvGraphicFramePr>
        <xdr:cNvPr id="16" name="Chart 15">
          <a:extLst>
            <a:ext uri="{FF2B5EF4-FFF2-40B4-BE49-F238E27FC236}">
              <a16:creationId xmlns:a16="http://schemas.microsoft.com/office/drawing/2014/main" id="{D8B6E4F6-F1F4-4984-9500-E956F8CC40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414620</xdr:colOff>
      <xdr:row>17</xdr:row>
      <xdr:rowOff>145133</xdr:rowOff>
    </xdr:from>
    <xdr:to>
      <xdr:col>4</xdr:col>
      <xdr:colOff>306888</xdr:colOff>
      <xdr:row>27</xdr:row>
      <xdr:rowOff>17610</xdr:rowOff>
    </xdr:to>
    <xdr:graphicFrame macro="">
      <xdr:nvGraphicFramePr>
        <xdr:cNvPr id="17" name="Chart 16">
          <a:extLst>
            <a:ext uri="{FF2B5EF4-FFF2-40B4-BE49-F238E27FC236}">
              <a16:creationId xmlns:a16="http://schemas.microsoft.com/office/drawing/2014/main" id="{D977A3BB-CBDE-4411-AB14-317BDDBD7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488005</xdr:colOff>
      <xdr:row>4</xdr:row>
      <xdr:rowOff>38268</xdr:rowOff>
    </xdr:from>
    <xdr:to>
      <xdr:col>6</xdr:col>
      <xdr:colOff>866381</xdr:colOff>
      <xdr:row>7</xdr:row>
      <xdr:rowOff>30331</xdr:rowOff>
    </xdr:to>
    <xdr:grpSp>
      <xdr:nvGrpSpPr>
        <xdr:cNvPr id="23" name="Group 22">
          <a:extLst>
            <a:ext uri="{FF2B5EF4-FFF2-40B4-BE49-F238E27FC236}">
              <a16:creationId xmlns:a16="http://schemas.microsoft.com/office/drawing/2014/main" id="{C2F1A3BA-6A2C-4EC6-AABE-FB6A5CB91AF1}"/>
            </a:ext>
          </a:extLst>
        </xdr:cNvPr>
        <xdr:cNvGrpSpPr/>
      </xdr:nvGrpSpPr>
      <xdr:grpSpPr>
        <a:xfrm>
          <a:off x="1477335" y="775884"/>
          <a:ext cx="5836074" cy="545529"/>
          <a:chOff x="2172089" y="1228761"/>
          <a:chExt cx="5691565" cy="552357"/>
        </a:xfrm>
        <a:effectLst>
          <a:outerShdw blurRad="50800" dist="38100" dir="2700000" algn="tl" rotWithShape="0">
            <a:prstClr val="black">
              <a:alpha val="40000"/>
            </a:prstClr>
          </a:outerShdw>
        </a:effectLst>
      </xdr:grpSpPr>
      <xdr:grpSp>
        <xdr:nvGrpSpPr>
          <xdr:cNvPr id="6" name="Group 5">
            <a:extLst>
              <a:ext uri="{FF2B5EF4-FFF2-40B4-BE49-F238E27FC236}">
                <a16:creationId xmlns:a16="http://schemas.microsoft.com/office/drawing/2014/main" id="{B6E2396F-7E08-4BD9-9659-5B0C1820E532}"/>
              </a:ext>
            </a:extLst>
          </xdr:cNvPr>
          <xdr:cNvGrpSpPr/>
        </xdr:nvGrpSpPr>
        <xdr:grpSpPr>
          <a:xfrm>
            <a:off x="2172089" y="1228761"/>
            <a:ext cx="1331837" cy="552357"/>
            <a:chOff x="1949547" y="870661"/>
            <a:chExt cx="1334868" cy="543855"/>
          </a:xfrm>
        </xdr:grpSpPr>
        <xdr:sp macro="" textlink="">
          <xdr:nvSpPr>
            <xdr:cNvPr id="3" name="Rectangle: Rounded Corners 2">
              <a:extLst>
                <a:ext uri="{FF2B5EF4-FFF2-40B4-BE49-F238E27FC236}">
                  <a16:creationId xmlns:a16="http://schemas.microsoft.com/office/drawing/2014/main" id="{97EAB072-BE7E-4323-937D-C893152B98D7}"/>
                </a:ext>
              </a:extLst>
            </xdr:cNvPr>
            <xdr:cNvSpPr/>
          </xdr:nvSpPr>
          <xdr:spPr>
            <a:xfrm>
              <a:off x="1949547" y="870661"/>
              <a:ext cx="1334868" cy="543855"/>
            </a:xfrm>
            <a:prstGeom prst="roundRect">
              <a:avLst>
                <a:gd name="adj" fmla="val 1519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lumMod val="25000"/>
                  </a:schemeClr>
                </a:solidFill>
              </a:endParaRPr>
            </a:p>
          </xdr:txBody>
        </xdr:sp>
        <xdr:sp macro="" textlink="">
          <xdr:nvSpPr>
            <xdr:cNvPr id="4" name="TextBox 3">
              <a:extLst>
                <a:ext uri="{FF2B5EF4-FFF2-40B4-BE49-F238E27FC236}">
                  <a16:creationId xmlns:a16="http://schemas.microsoft.com/office/drawing/2014/main" id="{8A27883C-3099-4D13-94C0-110577AEC99C}"/>
                </a:ext>
              </a:extLst>
            </xdr:cNvPr>
            <xdr:cNvSpPr txBox="1"/>
          </xdr:nvSpPr>
          <xdr:spPr>
            <a:xfrm>
              <a:off x="1966653" y="910897"/>
              <a:ext cx="1300656" cy="249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b="0">
                  <a:solidFill>
                    <a:schemeClr val="bg2">
                      <a:lumMod val="25000"/>
                    </a:schemeClr>
                  </a:solidFill>
                  <a:latin typeface="Segoe UI" panose="020B0502040204020203" pitchFamily="34" charset="0"/>
                  <a:cs typeface="Segoe UI" panose="020B0502040204020203" pitchFamily="34" charset="0"/>
                </a:rPr>
                <a:t>Total Shipments</a:t>
              </a:r>
            </a:p>
          </xdr:txBody>
        </xdr:sp>
        <xdr:sp macro="" textlink="'Pivot Table'!D10">
          <xdr:nvSpPr>
            <xdr:cNvPr id="5" name="TextBox 4">
              <a:extLst>
                <a:ext uri="{FF2B5EF4-FFF2-40B4-BE49-F238E27FC236}">
                  <a16:creationId xmlns:a16="http://schemas.microsoft.com/office/drawing/2014/main" id="{419F693A-2A43-4EE6-BC37-F45F8F360D10}"/>
                </a:ext>
              </a:extLst>
            </xdr:cNvPr>
            <xdr:cNvSpPr txBox="1"/>
          </xdr:nvSpPr>
          <xdr:spPr>
            <a:xfrm>
              <a:off x="1966653" y="1098332"/>
              <a:ext cx="1300656" cy="249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F65CB1E-4C66-4EA4-B36A-5A2C64AEA1D8}" type="TxLink">
                <a:rPr lang="en-US" sz="1200" b="1" i="0" u="none" strike="noStrike">
                  <a:solidFill>
                    <a:schemeClr val="bg2">
                      <a:lumMod val="25000"/>
                    </a:schemeClr>
                  </a:solidFill>
                  <a:latin typeface="Segoe UI" panose="020B0502040204020203" pitchFamily="34" charset="0"/>
                  <a:ea typeface="Calibri"/>
                  <a:cs typeface="Segoe UI" panose="020B0502040204020203" pitchFamily="34" charset="0"/>
                </a:rPr>
                <a:pPr algn="ctr"/>
                <a:t>1000</a:t>
              </a:fld>
              <a:endParaRPr lang="en-US" sz="1200" b="1">
                <a:solidFill>
                  <a:schemeClr val="bg2">
                    <a:lumMod val="25000"/>
                  </a:schemeClr>
                </a:solidFill>
                <a:latin typeface="Segoe UI" panose="020B0502040204020203" pitchFamily="34" charset="0"/>
                <a:cs typeface="Segoe UI" panose="020B0502040204020203" pitchFamily="34" charset="0"/>
              </a:endParaRPr>
            </a:p>
          </xdr:txBody>
        </xdr:sp>
      </xdr:grpSp>
      <xdr:grpSp>
        <xdr:nvGrpSpPr>
          <xdr:cNvPr id="7" name="Group 6">
            <a:extLst>
              <a:ext uri="{FF2B5EF4-FFF2-40B4-BE49-F238E27FC236}">
                <a16:creationId xmlns:a16="http://schemas.microsoft.com/office/drawing/2014/main" id="{8EC4B809-4B11-4950-A52D-D364B8B69D32}"/>
              </a:ext>
            </a:extLst>
          </xdr:cNvPr>
          <xdr:cNvGrpSpPr/>
        </xdr:nvGrpSpPr>
        <xdr:grpSpPr>
          <a:xfrm>
            <a:off x="3621316" y="1228761"/>
            <a:ext cx="1336072" cy="552357"/>
            <a:chOff x="1949547" y="870661"/>
            <a:chExt cx="1334868" cy="543855"/>
          </a:xfrm>
        </xdr:grpSpPr>
        <xdr:sp macro="" textlink="">
          <xdr:nvSpPr>
            <xdr:cNvPr id="8" name="Rectangle: Rounded Corners 7">
              <a:extLst>
                <a:ext uri="{FF2B5EF4-FFF2-40B4-BE49-F238E27FC236}">
                  <a16:creationId xmlns:a16="http://schemas.microsoft.com/office/drawing/2014/main" id="{03EBCE25-BC55-40A2-8BE4-BCB5A5EAD555}"/>
                </a:ext>
              </a:extLst>
            </xdr:cNvPr>
            <xdr:cNvSpPr/>
          </xdr:nvSpPr>
          <xdr:spPr>
            <a:xfrm>
              <a:off x="1949547" y="870661"/>
              <a:ext cx="1334868" cy="543855"/>
            </a:xfrm>
            <a:prstGeom prst="roundRect">
              <a:avLst>
                <a:gd name="adj" fmla="val 1519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lumMod val="25000"/>
                  </a:schemeClr>
                </a:solidFill>
              </a:endParaRPr>
            </a:p>
          </xdr:txBody>
        </xdr:sp>
        <xdr:sp macro="" textlink="">
          <xdr:nvSpPr>
            <xdr:cNvPr id="9" name="TextBox 8">
              <a:extLst>
                <a:ext uri="{FF2B5EF4-FFF2-40B4-BE49-F238E27FC236}">
                  <a16:creationId xmlns:a16="http://schemas.microsoft.com/office/drawing/2014/main" id="{28F2E454-D768-4D76-A8A7-3227425ACDDD}"/>
                </a:ext>
              </a:extLst>
            </xdr:cNvPr>
            <xdr:cNvSpPr txBox="1"/>
          </xdr:nvSpPr>
          <xdr:spPr>
            <a:xfrm>
              <a:off x="1966653" y="910897"/>
              <a:ext cx="1300656" cy="249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a:solidFill>
                    <a:schemeClr val="bg2">
                      <a:lumMod val="25000"/>
                    </a:schemeClr>
                  </a:solidFill>
                  <a:latin typeface="Segoe UI" panose="020B0502040204020203" pitchFamily="34" charset="0"/>
                  <a:cs typeface="Segoe UI" panose="020B0502040204020203" pitchFamily="34" charset="0"/>
                </a:rPr>
                <a:t>Late Shipments</a:t>
              </a:r>
            </a:p>
          </xdr:txBody>
        </xdr:sp>
        <xdr:sp macro="" textlink="'Pivot Table'!H12">
          <xdr:nvSpPr>
            <xdr:cNvPr id="10" name="TextBox 9">
              <a:extLst>
                <a:ext uri="{FF2B5EF4-FFF2-40B4-BE49-F238E27FC236}">
                  <a16:creationId xmlns:a16="http://schemas.microsoft.com/office/drawing/2014/main" id="{C77CE044-09A6-49EB-B3FF-A0EEEA68E113}"/>
                </a:ext>
              </a:extLst>
            </xdr:cNvPr>
            <xdr:cNvSpPr txBox="1"/>
          </xdr:nvSpPr>
          <xdr:spPr>
            <a:xfrm>
              <a:off x="1966653" y="1098332"/>
              <a:ext cx="1300656" cy="249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6794A9F-1969-4910-B20B-85768336576D}" type="TxLink">
                <a:rPr lang="en-US" sz="1200" b="1" i="0" u="none" strike="noStrike">
                  <a:solidFill>
                    <a:schemeClr val="tx1">
                      <a:lumMod val="75000"/>
                      <a:lumOff val="25000"/>
                    </a:schemeClr>
                  </a:solidFill>
                  <a:latin typeface="Segoe UI" panose="020B0502040204020203" pitchFamily="34" charset="0"/>
                  <a:ea typeface="Calibri"/>
                  <a:cs typeface="Segoe UI" panose="020B0502040204020203" pitchFamily="34" charset="0"/>
                </a:rPr>
                <a:pPr algn="ctr"/>
                <a:t>160</a:t>
              </a:fld>
              <a:endParaRPr lang="en-US" sz="1200" b="1">
                <a:solidFill>
                  <a:schemeClr val="tx1">
                    <a:lumMod val="75000"/>
                    <a:lumOff val="25000"/>
                  </a:schemeClr>
                </a:solidFill>
                <a:latin typeface="Segoe UI" panose="020B0502040204020203" pitchFamily="34" charset="0"/>
                <a:cs typeface="Segoe UI" panose="020B0502040204020203" pitchFamily="34" charset="0"/>
              </a:endParaRPr>
            </a:p>
          </xdr:txBody>
        </xdr:sp>
      </xdr:grpSp>
      <xdr:grpSp>
        <xdr:nvGrpSpPr>
          <xdr:cNvPr id="11" name="Group 10">
            <a:extLst>
              <a:ext uri="{FF2B5EF4-FFF2-40B4-BE49-F238E27FC236}">
                <a16:creationId xmlns:a16="http://schemas.microsoft.com/office/drawing/2014/main" id="{8A55C70C-7EDA-4DF4-943F-B5CF956392F7}"/>
              </a:ext>
            </a:extLst>
          </xdr:cNvPr>
          <xdr:cNvGrpSpPr/>
        </xdr:nvGrpSpPr>
        <xdr:grpSpPr>
          <a:xfrm>
            <a:off x="5074778" y="1228761"/>
            <a:ext cx="1335743" cy="552357"/>
            <a:chOff x="1949547" y="870661"/>
            <a:chExt cx="1334868" cy="543855"/>
          </a:xfrm>
        </xdr:grpSpPr>
        <xdr:sp macro="" textlink="">
          <xdr:nvSpPr>
            <xdr:cNvPr id="12" name="Rectangle: Rounded Corners 11">
              <a:extLst>
                <a:ext uri="{FF2B5EF4-FFF2-40B4-BE49-F238E27FC236}">
                  <a16:creationId xmlns:a16="http://schemas.microsoft.com/office/drawing/2014/main" id="{68FA7A1B-01F5-44F1-AA39-25AC67DD49DF}"/>
                </a:ext>
              </a:extLst>
            </xdr:cNvPr>
            <xdr:cNvSpPr/>
          </xdr:nvSpPr>
          <xdr:spPr>
            <a:xfrm>
              <a:off x="1949547" y="870661"/>
              <a:ext cx="1334868" cy="543855"/>
            </a:xfrm>
            <a:prstGeom prst="roundRect">
              <a:avLst>
                <a:gd name="adj" fmla="val 1519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lumMod val="25000"/>
                  </a:schemeClr>
                </a:solidFill>
              </a:endParaRPr>
            </a:p>
          </xdr:txBody>
        </xdr:sp>
        <xdr:sp macro="" textlink="">
          <xdr:nvSpPr>
            <xdr:cNvPr id="13" name="TextBox 12">
              <a:extLst>
                <a:ext uri="{FF2B5EF4-FFF2-40B4-BE49-F238E27FC236}">
                  <a16:creationId xmlns:a16="http://schemas.microsoft.com/office/drawing/2014/main" id="{26AD83D9-5C70-49B6-B55A-C09D6CFBF0CF}"/>
                </a:ext>
              </a:extLst>
            </xdr:cNvPr>
            <xdr:cNvSpPr txBox="1"/>
          </xdr:nvSpPr>
          <xdr:spPr>
            <a:xfrm>
              <a:off x="1966653" y="910897"/>
              <a:ext cx="1300656" cy="249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a:solidFill>
                    <a:schemeClr val="bg2">
                      <a:lumMod val="25000"/>
                    </a:schemeClr>
                  </a:solidFill>
                  <a:latin typeface="Segoe UI" panose="020B0502040204020203" pitchFamily="34" charset="0"/>
                  <a:cs typeface="Segoe UI" panose="020B0502040204020203" pitchFamily="34" charset="0"/>
                </a:rPr>
                <a:t>Late Rate</a:t>
              </a:r>
            </a:p>
          </xdr:txBody>
        </xdr:sp>
        <xdr:sp macro="" textlink="'Pivot Table'!B9">
          <xdr:nvSpPr>
            <xdr:cNvPr id="14" name="TextBox 13">
              <a:extLst>
                <a:ext uri="{FF2B5EF4-FFF2-40B4-BE49-F238E27FC236}">
                  <a16:creationId xmlns:a16="http://schemas.microsoft.com/office/drawing/2014/main" id="{A46FAF95-D077-4763-BEC5-BC91687C3FCE}"/>
                </a:ext>
              </a:extLst>
            </xdr:cNvPr>
            <xdr:cNvSpPr txBox="1"/>
          </xdr:nvSpPr>
          <xdr:spPr>
            <a:xfrm>
              <a:off x="1966653" y="1098332"/>
              <a:ext cx="1300656" cy="249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D146B70-0232-4177-8756-4B06572AC77D}" type="TxLink">
                <a:rPr lang="en-US" sz="1200" b="1" i="0" u="none" strike="noStrike">
                  <a:solidFill>
                    <a:srgbClr val="000000"/>
                  </a:solidFill>
                  <a:latin typeface="Segoe UI" panose="020B0502040204020203" pitchFamily="34" charset="0"/>
                  <a:ea typeface="Calibri"/>
                  <a:cs typeface="Segoe UI" panose="020B0502040204020203" pitchFamily="34" charset="0"/>
                </a:rPr>
                <a:pPr algn="ctr"/>
                <a:t>16%</a:t>
              </a:fld>
              <a:endParaRPr lang="en-US" sz="2400" b="1">
                <a:solidFill>
                  <a:schemeClr val="bg2">
                    <a:lumMod val="25000"/>
                  </a:schemeClr>
                </a:solidFill>
                <a:latin typeface="Segoe UI" panose="020B0502040204020203" pitchFamily="34" charset="0"/>
                <a:cs typeface="Segoe UI" panose="020B0502040204020203" pitchFamily="34" charset="0"/>
              </a:endParaRPr>
            </a:p>
          </xdr:txBody>
        </xdr:sp>
      </xdr:grpSp>
      <xdr:grpSp>
        <xdr:nvGrpSpPr>
          <xdr:cNvPr id="19" name="Group 18">
            <a:extLst>
              <a:ext uri="{FF2B5EF4-FFF2-40B4-BE49-F238E27FC236}">
                <a16:creationId xmlns:a16="http://schemas.microsoft.com/office/drawing/2014/main" id="{16A694E6-428D-4704-8642-45E886957AD1}"/>
              </a:ext>
            </a:extLst>
          </xdr:cNvPr>
          <xdr:cNvGrpSpPr/>
        </xdr:nvGrpSpPr>
        <xdr:grpSpPr>
          <a:xfrm>
            <a:off x="6527911" y="1228761"/>
            <a:ext cx="1335743" cy="552357"/>
            <a:chOff x="1949547" y="870661"/>
            <a:chExt cx="1334868" cy="543855"/>
          </a:xfrm>
        </xdr:grpSpPr>
        <xdr:sp macro="" textlink="">
          <xdr:nvSpPr>
            <xdr:cNvPr id="20" name="Rectangle: Rounded Corners 19">
              <a:extLst>
                <a:ext uri="{FF2B5EF4-FFF2-40B4-BE49-F238E27FC236}">
                  <a16:creationId xmlns:a16="http://schemas.microsoft.com/office/drawing/2014/main" id="{1EA274D7-AE54-4548-B875-1C828E9E941F}"/>
                </a:ext>
              </a:extLst>
            </xdr:cNvPr>
            <xdr:cNvSpPr/>
          </xdr:nvSpPr>
          <xdr:spPr>
            <a:xfrm>
              <a:off x="1949547" y="870661"/>
              <a:ext cx="1334868" cy="543855"/>
            </a:xfrm>
            <a:prstGeom prst="roundRect">
              <a:avLst>
                <a:gd name="adj" fmla="val 1519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2">
                    <a:lumMod val="25000"/>
                  </a:schemeClr>
                </a:solidFill>
              </a:endParaRPr>
            </a:p>
          </xdr:txBody>
        </xdr:sp>
        <xdr:sp macro="" textlink="">
          <xdr:nvSpPr>
            <xdr:cNvPr id="21" name="TextBox 20">
              <a:extLst>
                <a:ext uri="{FF2B5EF4-FFF2-40B4-BE49-F238E27FC236}">
                  <a16:creationId xmlns:a16="http://schemas.microsoft.com/office/drawing/2014/main" id="{22C08DAF-6B08-4D9C-B395-E3AD5D9D1B8A}"/>
                </a:ext>
              </a:extLst>
            </xdr:cNvPr>
            <xdr:cNvSpPr txBox="1"/>
          </xdr:nvSpPr>
          <xdr:spPr>
            <a:xfrm>
              <a:off x="1966653" y="910897"/>
              <a:ext cx="1300656" cy="249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a:solidFill>
                    <a:schemeClr val="bg2">
                      <a:lumMod val="25000"/>
                    </a:schemeClr>
                  </a:solidFill>
                  <a:latin typeface="Segoe UI" panose="020B0502040204020203" pitchFamily="34" charset="0"/>
                  <a:cs typeface="Segoe UI" panose="020B0502040204020203" pitchFamily="34" charset="0"/>
                </a:rPr>
                <a:t>On Time</a:t>
              </a:r>
            </a:p>
          </xdr:txBody>
        </xdr:sp>
        <xdr:sp macro="" textlink="'Pivot Table'!B9">
          <xdr:nvSpPr>
            <xdr:cNvPr id="22" name="TextBox 21">
              <a:extLst>
                <a:ext uri="{FF2B5EF4-FFF2-40B4-BE49-F238E27FC236}">
                  <a16:creationId xmlns:a16="http://schemas.microsoft.com/office/drawing/2014/main" id="{CBBEA923-1BFC-442F-AD8D-C68CC86A0B09}"/>
                </a:ext>
              </a:extLst>
            </xdr:cNvPr>
            <xdr:cNvSpPr txBox="1"/>
          </xdr:nvSpPr>
          <xdr:spPr>
            <a:xfrm>
              <a:off x="1966653" y="1098332"/>
              <a:ext cx="1300656" cy="249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u="none" strike="noStrike">
                  <a:solidFill>
                    <a:schemeClr val="bg2">
                      <a:lumMod val="25000"/>
                    </a:schemeClr>
                  </a:solidFill>
                  <a:latin typeface="Segoe UI" panose="020B0502040204020203" pitchFamily="34" charset="0"/>
                  <a:ea typeface="Calibri"/>
                  <a:cs typeface="Segoe UI" panose="020B0502040204020203" pitchFamily="34" charset="0"/>
                </a:rPr>
                <a:t>84%</a:t>
              </a:r>
              <a:endParaRPr lang="en-US" sz="2000" b="1">
                <a:solidFill>
                  <a:schemeClr val="bg2">
                    <a:lumMod val="25000"/>
                  </a:schemeClr>
                </a:solidFill>
                <a:latin typeface="Segoe UI" panose="020B0502040204020203" pitchFamily="34" charset="0"/>
                <a:cs typeface="Segoe UI" panose="020B0502040204020203" pitchFamily="34" charset="0"/>
              </a:endParaRPr>
            </a:p>
          </xdr:txBody>
        </xdr:sp>
      </xdr:grpSp>
    </xdr:grpSp>
    <xdr:clientData/>
  </xdr:twoCellAnchor>
  <xdr:twoCellAnchor>
    <xdr:from>
      <xdr:col>4</xdr:col>
      <xdr:colOff>409815</xdr:colOff>
      <xdr:row>17</xdr:row>
      <xdr:rowOff>134673</xdr:rowOff>
    </xdr:from>
    <xdr:to>
      <xdr:col>6</xdr:col>
      <xdr:colOff>881324</xdr:colOff>
      <xdr:row>27</xdr:row>
      <xdr:rowOff>6978</xdr:rowOff>
    </xdr:to>
    <xdr:grpSp>
      <xdr:nvGrpSpPr>
        <xdr:cNvPr id="27" name="Group 26">
          <a:extLst>
            <a:ext uri="{FF2B5EF4-FFF2-40B4-BE49-F238E27FC236}">
              <a16:creationId xmlns:a16="http://schemas.microsoft.com/office/drawing/2014/main" id="{7B0E422F-5AA6-4E25-A534-14E48EAE1BDC}"/>
            </a:ext>
          </a:extLst>
        </xdr:cNvPr>
        <xdr:cNvGrpSpPr/>
      </xdr:nvGrpSpPr>
      <xdr:grpSpPr>
        <a:xfrm>
          <a:off x="4587353" y="3270303"/>
          <a:ext cx="2741761" cy="1715329"/>
          <a:chOff x="4615962" y="3448537"/>
          <a:chExt cx="3258038" cy="1724271"/>
        </a:xfrm>
      </xdr:grpSpPr>
      <xdr:sp macro="" textlink="">
        <xdr:nvSpPr>
          <xdr:cNvPr id="15" name="Rectangle: Rounded Corners 14">
            <a:extLst>
              <a:ext uri="{FF2B5EF4-FFF2-40B4-BE49-F238E27FC236}">
                <a16:creationId xmlns:a16="http://schemas.microsoft.com/office/drawing/2014/main" id="{6A8439C9-03E8-4336-8544-0279A9654356}"/>
              </a:ext>
            </a:extLst>
          </xdr:cNvPr>
          <xdr:cNvSpPr/>
        </xdr:nvSpPr>
        <xdr:spPr>
          <a:xfrm>
            <a:off x="4615962" y="3448537"/>
            <a:ext cx="3258038" cy="1724271"/>
          </a:xfrm>
          <a:prstGeom prst="roundRect">
            <a:avLst>
              <a:gd name="adj" fmla="val 7117"/>
            </a:avLst>
          </a:prstGeom>
          <a:solidFill>
            <a:srgbClr val="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CE734AF1-AE0E-4E85-A1B1-5F3FFCA6A425}"/>
                  </a:ext>
                </a:extLst>
              </xdr:cNvPr>
              <xdr:cNvGraphicFramePr/>
            </xdr:nvGraphicFramePr>
            <xdr:xfrm>
              <a:off x="4671786" y="3464952"/>
              <a:ext cx="3148864" cy="1676138"/>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671786" y="3464952"/>
                <a:ext cx="3148864" cy="16761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0</xdr:col>
      <xdr:colOff>453951</xdr:colOff>
      <xdr:row>10</xdr:row>
      <xdr:rowOff>8374</xdr:rowOff>
    </xdr:from>
    <xdr:to>
      <xdr:col>1</xdr:col>
      <xdr:colOff>360446</xdr:colOff>
      <xdr:row>16</xdr:row>
      <xdr:rowOff>144065</xdr:rowOff>
    </xdr:to>
    <xdr:grpSp>
      <xdr:nvGrpSpPr>
        <xdr:cNvPr id="33" name="Group 32">
          <a:extLst>
            <a:ext uri="{FF2B5EF4-FFF2-40B4-BE49-F238E27FC236}">
              <a16:creationId xmlns:a16="http://schemas.microsoft.com/office/drawing/2014/main" id="{DC1E67D2-1C82-4F9A-8429-E26F977A6DB1}"/>
            </a:ext>
          </a:extLst>
        </xdr:cNvPr>
        <xdr:cNvGrpSpPr/>
      </xdr:nvGrpSpPr>
      <xdr:grpSpPr>
        <a:xfrm>
          <a:off x="464873" y="1852160"/>
          <a:ext cx="882363" cy="1242623"/>
          <a:chOff x="1192471" y="2048378"/>
          <a:chExt cx="861130" cy="1261615"/>
        </a:xfrm>
      </xdr:grpSpPr>
      <xdr:sp macro="" textlink="">
        <xdr:nvSpPr>
          <xdr:cNvPr id="28" name="Rectangle: Rounded Corners 27">
            <a:extLst>
              <a:ext uri="{FF2B5EF4-FFF2-40B4-BE49-F238E27FC236}">
                <a16:creationId xmlns:a16="http://schemas.microsoft.com/office/drawing/2014/main" id="{BB4E155E-ED77-4DD6-8EC6-E598E84E3184}"/>
              </a:ext>
            </a:extLst>
          </xdr:cNvPr>
          <xdr:cNvSpPr/>
        </xdr:nvSpPr>
        <xdr:spPr>
          <a:xfrm>
            <a:off x="1192471" y="2048378"/>
            <a:ext cx="861130" cy="1261615"/>
          </a:xfrm>
          <a:prstGeom prst="roundRect">
            <a:avLst>
              <a:gd name="adj" fmla="val 12277"/>
            </a:avLst>
          </a:prstGeom>
          <a:solidFill>
            <a:srgbClr val="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25" name="Shipment_Type_Eng 1">
                <a:extLst>
                  <a:ext uri="{FF2B5EF4-FFF2-40B4-BE49-F238E27FC236}">
                    <a16:creationId xmlns:a16="http://schemas.microsoft.com/office/drawing/2014/main" id="{1DBB3CB5-89EB-41D5-9C05-1A1B752A2A93}"/>
                  </a:ext>
                </a:extLst>
              </xdr:cNvPr>
              <xdr:cNvGraphicFramePr/>
            </xdr:nvGraphicFramePr>
            <xdr:xfrm>
              <a:off x="1224366" y="2246339"/>
              <a:ext cx="799353" cy="989941"/>
            </xdr:xfrm>
            <a:graphic>
              <a:graphicData uri="http://schemas.microsoft.com/office/drawing/2010/slicer">
                <sle:slicer xmlns:sle="http://schemas.microsoft.com/office/drawing/2010/slicer" name="Shipment_Type_Eng 1"/>
              </a:graphicData>
            </a:graphic>
          </xdr:graphicFrame>
        </mc:Choice>
        <mc:Fallback>
          <xdr:sp macro="" textlink="">
            <xdr:nvSpPr>
              <xdr:cNvPr id="0" name=""/>
              <xdr:cNvSpPr>
                <a:spLocks noTextEdit="1"/>
              </xdr:cNvSpPr>
            </xdr:nvSpPr>
            <xdr:spPr>
              <a:xfrm>
                <a:off x="497554" y="2047141"/>
                <a:ext cx="819063" cy="975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614304</xdr:colOff>
      <xdr:row>1</xdr:row>
      <xdr:rowOff>27417</xdr:rowOff>
    </xdr:from>
    <xdr:to>
      <xdr:col>6</xdr:col>
      <xdr:colOff>660080</xdr:colOff>
      <xdr:row>3</xdr:row>
      <xdr:rowOff>27213</xdr:rowOff>
    </xdr:to>
    <xdr:sp macro="" textlink="">
      <xdr:nvSpPr>
        <xdr:cNvPr id="26" name="TextBox 25">
          <a:extLst>
            <a:ext uri="{FF2B5EF4-FFF2-40B4-BE49-F238E27FC236}">
              <a16:creationId xmlns:a16="http://schemas.microsoft.com/office/drawing/2014/main" id="{EB23D8D9-FB69-4407-A6B9-BBADCD98B814}"/>
            </a:ext>
          </a:extLst>
        </xdr:cNvPr>
        <xdr:cNvSpPr txBox="1"/>
      </xdr:nvSpPr>
      <xdr:spPr>
        <a:xfrm>
          <a:off x="614304" y="208846"/>
          <a:ext cx="6314133" cy="362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accent1">
                  <a:lumMod val="50000"/>
                </a:schemeClr>
              </a:solidFill>
              <a:latin typeface="Segoe UI" panose="020B0502040204020203" pitchFamily="34" charset="0"/>
              <a:cs typeface="Segoe UI" panose="020B0502040204020203" pitchFamily="34" charset="0"/>
            </a:rPr>
            <a:t>Türkiye Shipping Performance</a:t>
          </a:r>
          <a:r>
            <a:rPr lang="en-US" sz="1800" b="1" baseline="0">
              <a:solidFill>
                <a:schemeClr val="accent1">
                  <a:lumMod val="50000"/>
                </a:schemeClr>
              </a:solidFill>
              <a:latin typeface="Segoe UI" panose="020B0502040204020203" pitchFamily="34" charset="0"/>
              <a:cs typeface="Segoe UI" panose="020B0502040204020203" pitchFamily="34" charset="0"/>
            </a:rPr>
            <a:t> </a:t>
          </a:r>
          <a:r>
            <a:rPr lang="en-US" sz="1800" b="1">
              <a:solidFill>
                <a:schemeClr val="accent1">
                  <a:lumMod val="50000"/>
                </a:schemeClr>
              </a:solidFill>
              <a:latin typeface="Segoe UI" panose="020B0502040204020203" pitchFamily="34" charset="0"/>
              <a:cs typeface="Segoe UI" panose="020B0502040204020203" pitchFamily="34" charset="0"/>
            </a:rPr>
            <a:t>Dashboard</a:t>
          </a:r>
        </a:p>
      </xdr:txBody>
    </xdr:sp>
    <xdr:clientData/>
  </xdr:twoCellAnchor>
  <xdr:twoCellAnchor>
    <xdr:from>
      <xdr:col>0</xdr:col>
      <xdr:colOff>435963</xdr:colOff>
      <xdr:row>17</xdr:row>
      <xdr:rowOff>146743</xdr:rowOff>
    </xdr:from>
    <xdr:to>
      <xdr:col>2</xdr:col>
      <xdr:colOff>305227</xdr:colOff>
      <xdr:row>27</xdr:row>
      <xdr:rowOff>27214</xdr:rowOff>
    </xdr:to>
    <xdr:sp macro="" textlink="">
      <xdr:nvSpPr>
        <xdr:cNvPr id="34" name="Rectangle: Rounded Corners 33">
          <a:extLst>
            <a:ext uri="{FF2B5EF4-FFF2-40B4-BE49-F238E27FC236}">
              <a16:creationId xmlns:a16="http://schemas.microsoft.com/office/drawing/2014/main" id="{47D7960A-1591-44EF-8B46-EE8B75D7CB7D}"/>
            </a:ext>
          </a:extLst>
        </xdr:cNvPr>
        <xdr:cNvSpPr/>
      </xdr:nvSpPr>
      <xdr:spPr>
        <a:xfrm>
          <a:off x="435963" y="3231029"/>
          <a:ext cx="1656335" cy="1694756"/>
        </a:xfrm>
        <a:prstGeom prst="roundRect">
          <a:avLst>
            <a:gd name="adj" fmla="val 9972"/>
          </a:avLst>
        </a:prstGeom>
        <a:solidFill>
          <a:srgbClr val="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493483</xdr:colOff>
      <xdr:row>18</xdr:row>
      <xdr:rowOff>69224</xdr:rowOff>
    </xdr:from>
    <xdr:to>
      <xdr:col>1</xdr:col>
      <xdr:colOff>591454</xdr:colOff>
      <xdr:row>19</xdr:row>
      <xdr:rowOff>164473</xdr:rowOff>
    </xdr:to>
    <xdr:sp macro="" textlink="">
      <xdr:nvSpPr>
        <xdr:cNvPr id="35" name="TextBox 34">
          <a:extLst>
            <a:ext uri="{FF2B5EF4-FFF2-40B4-BE49-F238E27FC236}">
              <a16:creationId xmlns:a16="http://schemas.microsoft.com/office/drawing/2014/main" id="{911507B8-11DE-4444-AA57-989BCAF21D9D}"/>
            </a:ext>
          </a:extLst>
        </xdr:cNvPr>
        <xdr:cNvSpPr txBox="1"/>
      </xdr:nvSpPr>
      <xdr:spPr>
        <a:xfrm>
          <a:off x="493483" y="3334938"/>
          <a:ext cx="1050471" cy="2766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b="1">
              <a:solidFill>
                <a:schemeClr val="tx1">
                  <a:lumMod val="85000"/>
                  <a:lumOff val="15000"/>
                </a:schemeClr>
              </a:solidFill>
              <a:latin typeface="Segoe UI" panose="020B0502040204020203" pitchFamily="34" charset="0"/>
              <a:ea typeface="Sans Serif Collection" panose="020B0502040504020204" pitchFamily="34" charset="0"/>
              <a:cs typeface="Segoe UI" panose="020B0502040204020203" pitchFamily="34" charset="0"/>
            </a:rPr>
            <a:t>Key</a:t>
          </a:r>
          <a:r>
            <a:rPr lang="en-US" sz="900" b="1" baseline="0">
              <a:solidFill>
                <a:schemeClr val="tx1">
                  <a:lumMod val="85000"/>
                  <a:lumOff val="15000"/>
                </a:schemeClr>
              </a:solidFill>
              <a:latin typeface="Segoe UI" panose="020B0502040204020203" pitchFamily="34" charset="0"/>
              <a:ea typeface="Sans Serif Collection" panose="020B0502040504020204" pitchFamily="34" charset="0"/>
              <a:cs typeface="Segoe UI" panose="020B0502040204020203" pitchFamily="34" charset="0"/>
            </a:rPr>
            <a:t> </a:t>
          </a:r>
          <a:r>
            <a:rPr lang="en-US" sz="900" b="1">
              <a:solidFill>
                <a:schemeClr val="tx1">
                  <a:lumMod val="85000"/>
                  <a:lumOff val="15000"/>
                </a:schemeClr>
              </a:solidFill>
              <a:latin typeface="Segoe UI" panose="020B0502040204020203" pitchFamily="34" charset="0"/>
              <a:ea typeface="Sans Serif Collection" panose="020B0502040504020204" pitchFamily="34" charset="0"/>
              <a:cs typeface="Segoe UI" panose="020B0502040204020203" pitchFamily="34" charset="0"/>
            </a:rPr>
            <a:t>Insights</a:t>
          </a:r>
        </a:p>
      </xdr:txBody>
    </xdr:sp>
    <xdr:clientData/>
  </xdr:twoCellAnchor>
  <xdr:twoCellAnchor>
    <xdr:from>
      <xdr:col>0</xdr:col>
      <xdr:colOff>607266</xdr:colOff>
      <xdr:row>19</xdr:row>
      <xdr:rowOff>122783</xdr:rowOff>
    </xdr:from>
    <xdr:to>
      <xdr:col>2</xdr:col>
      <xdr:colOff>234550</xdr:colOff>
      <xdr:row>26</xdr:row>
      <xdr:rowOff>172479</xdr:rowOff>
    </xdr:to>
    <xdr:sp macro="" textlink="">
      <xdr:nvSpPr>
        <xdr:cNvPr id="36" name="TextBox 35">
          <a:extLst>
            <a:ext uri="{FF2B5EF4-FFF2-40B4-BE49-F238E27FC236}">
              <a16:creationId xmlns:a16="http://schemas.microsoft.com/office/drawing/2014/main" id="{DE97E828-785A-446D-BC5E-B70A1C9AD648}"/>
            </a:ext>
          </a:extLst>
        </xdr:cNvPr>
        <xdr:cNvSpPr txBox="1"/>
      </xdr:nvSpPr>
      <xdr:spPr>
        <a:xfrm>
          <a:off x="607266" y="3569926"/>
          <a:ext cx="1414355" cy="1319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00" b="1">
              <a:solidFill>
                <a:schemeClr val="tx1">
                  <a:lumMod val="75000"/>
                  <a:lumOff val="25000"/>
                </a:schemeClr>
              </a:solidFill>
              <a:latin typeface="Segoe UI" panose="020B0502040204020203" pitchFamily="34" charset="0"/>
              <a:cs typeface="Segoe UI" panose="020B0502040204020203" pitchFamily="34" charset="0"/>
            </a:rPr>
            <a:t>Route Risk: </a:t>
          </a:r>
          <a:r>
            <a:rPr lang="en-US" sz="700" b="0">
              <a:solidFill>
                <a:schemeClr val="tx1">
                  <a:lumMod val="75000"/>
                  <a:lumOff val="25000"/>
                </a:schemeClr>
              </a:solidFill>
              <a:latin typeface="Segoe UI" panose="020B0502040204020203" pitchFamily="34" charset="0"/>
              <a:cs typeface="Segoe UI" panose="020B0502040204020203" pitchFamily="34" charset="0"/>
            </a:rPr>
            <a:t>Adana → İzmir has the highest late rate at 50%</a:t>
          </a:r>
        </a:p>
        <a:p>
          <a:endParaRPr lang="en-US" sz="700" b="0">
            <a:solidFill>
              <a:schemeClr val="tx1">
                <a:lumMod val="75000"/>
                <a:lumOff val="25000"/>
              </a:schemeClr>
            </a:solidFill>
            <a:latin typeface="Segoe UI" panose="020B0502040204020203" pitchFamily="34" charset="0"/>
            <a:cs typeface="Segoe UI" panose="020B0502040204020203" pitchFamily="34" charset="0"/>
          </a:endParaRPr>
        </a:p>
        <a:p>
          <a:r>
            <a:rPr lang="en-US" sz="700" b="1">
              <a:solidFill>
                <a:schemeClr val="tx1">
                  <a:lumMod val="75000"/>
                  <a:lumOff val="25000"/>
                </a:schemeClr>
              </a:solidFill>
              <a:latin typeface="Segoe UI" panose="020B0502040204020203" pitchFamily="34" charset="0"/>
              <a:cs typeface="Segoe UI" panose="020B0502040204020203" pitchFamily="34" charset="0"/>
            </a:rPr>
            <a:t>Transportation Pattern: </a:t>
          </a:r>
          <a:r>
            <a:rPr lang="en-US" sz="700" b="0">
              <a:solidFill>
                <a:schemeClr val="tx1">
                  <a:lumMod val="75000"/>
                  <a:lumOff val="25000"/>
                </a:schemeClr>
              </a:solidFill>
              <a:latin typeface="Segoe UI" panose="020B0502040204020203" pitchFamily="34" charset="0"/>
              <a:cs typeface="Segoe UI" panose="020B0502040204020203" pitchFamily="34" charset="0"/>
            </a:rPr>
            <a:t>Road transportation accounts for 66.7% of late shipments</a:t>
          </a:r>
        </a:p>
        <a:p>
          <a:endParaRPr lang="en-US" sz="700" b="0">
            <a:solidFill>
              <a:schemeClr val="tx1">
                <a:lumMod val="75000"/>
                <a:lumOff val="25000"/>
              </a:schemeClr>
            </a:solidFill>
            <a:latin typeface="Segoe UI" panose="020B0502040204020203" pitchFamily="34" charset="0"/>
            <a:cs typeface="Segoe UI" panose="020B0502040204020203" pitchFamily="34" charset="0"/>
          </a:endParaRPr>
        </a:p>
        <a:p>
          <a:r>
            <a:rPr lang="en-US" sz="700" b="1">
              <a:solidFill>
                <a:schemeClr val="tx1">
                  <a:lumMod val="75000"/>
                  <a:lumOff val="25000"/>
                </a:schemeClr>
              </a:solidFill>
              <a:latin typeface="Segoe UI" panose="020B0502040204020203" pitchFamily="34" charset="0"/>
              <a:cs typeface="Segoe UI" panose="020B0502040204020203" pitchFamily="34" charset="0"/>
            </a:rPr>
            <a:t>Weight Pattern: </a:t>
          </a:r>
          <a:r>
            <a:rPr lang="en-US" sz="700" b="0">
              <a:solidFill>
                <a:schemeClr val="tx1">
                  <a:lumMod val="75000"/>
                  <a:lumOff val="25000"/>
                </a:schemeClr>
              </a:solidFill>
              <a:latin typeface="Segoe UI" panose="020B0502040204020203" pitchFamily="34" charset="0"/>
              <a:cs typeface="Segoe UI" panose="020B0502040204020203" pitchFamily="34" charset="0"/>
            </a:rPr>
            <a:t>Shipments weighing 0–500 kg have the highest late rate (20%)</a:t>
          </a:r>
        </a:p>
      </xdr:txBody>
    </xdr:sp>
    <xdr:clientData/>
  </xdr:twoCellAnchor>
  <xdr:twoCellAnchor>
    <xdr:from>
      <xdr:col>4</xdr:col>
      <xdr:colOff>1271082</xdr:colOff>
      <xdr:row>7</xdr:row>
      <xdr:rowOff>154458</xdr:rowOff>
    </xdr:from>
    <xdr:to>
      <xdr:col>6</xdr:col>
      <xdr:colOff>876928</xdr:colOff>
      <xdr:row>17</xdr:row>
      <xdr:rowOff>7954</xdr:rowOff>
    </xdr:to>
    <xdr:graphicFrame macro="">
      <xdr:nvGraphicFramePr>
        <xdr:cNvPr id="48" name="Chart 47">
          <a:extLst>
            <a:ext uri="{FF2B5EF4-FFF2-40B4-BE49-F238E27FC236}">
              <a16:creationId xmlns:a16="http://schemas.microsoft.com/office/drawing/2014/main" id="{37DE5ABF-8888-45F2-8FBC-DA946570B1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595198</xdr:colOff>
      <xdr:row>20</xdr:row>
      <xdr:rowOff>31124</xdr:rowOff>
    </xdr:from>
    <xdr:to>
      <xdr:col>0</xdr:col>
      <xdr:colOff>645998</xdr:colOff>
      <xdr:row>20</xdr:row>
      <xdr:rowOff>78296</xdr:rowOff>
    </xdr:to>
    <xdr:sp macro="" textlink="">
      <xdr:nvSpPr>
        <xdr:cNvPr id="37" name="Rectangle 36">
          <a:extLst>
            <a:ext uri="{FF2B5EF4-FFF2-40B4-BE49-F238E27FC236}">
              <a16:creationId xmlns:a16="http://schemas.microsoft.com/office/drawing/2014/main" id="{DDA72F16-A247-442F-A107-0E1FE350E546}"/>
            </a:ext>
          </a:extLst>
        </xdr:cNvPr>
        <xdr:cNvSpPr/>
      </xdr:nvSpPr>
      <xdr:spPr>
        <a:xfrm>
          <a:off x="595198" y="3659695"/>
          <a:ext cx="50800" cy="47172"/>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595198</xdr:colOff>
      <xdr:row>22</xdr:row>
      <xdr:rowOff>5724</xdr:rowOff>
    </xdr:from>
    <xdr:to>
      <xdr:col>0</xdr:col>
      <xdr:colOff>645998</xdr:colOff>
      <xdr:row>22</xdr:row>
      <xdr:rowOff>52336</xdr:rowOff>
    </xdr:to>
    <xdr:sp macro="" textlink="">
      <xdr:nvSpPr>
        <xdr:cNvPr id="38" name="Rectangle 37">
          <a:extLst>
            <a:ext uri="{FF2B5EF4-FFF2-40B4-BE49-F238E27FC236}">
              <a16:creationId xmlns:a16="http://schemas.microsoft.com/office/drawing/2014/main" id="{6BE638A4-CCF1-45E0-8C42-8455FC9ED52C}"/>
            </a:ext>
          </a:extLst>
        </xdr:cNvPr>
        <xdr:cNvSpPr/>
      </xdr:nvSpPr>
      <xdr:spPr>
        <a:xfrm>
          <a:off x="595198" y="3997153"/>
          <a:ext cx="50800" cy="46612"/>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595198</xdr:colOff>
      <xdr:row>24</xdr:row>
      <xdr:rowOff>110951</xdr:rowOff>
    </xdr:from>
    <xdr:to>
      <xdr:col>0</xdr:col>
      <xdr:colOff>645998</xdr:colOff>
      <xdr:row>24</xdr:row>
      <xdr:rowOff>161751</xdr:rowOff>
    </xdr:to>
    <xdr:sp macro="" textlink="">
      <xdr:nvSpPr>
        <xdr:cNvPr id="39" name="Rectangle 38">
          <a:extLst>
            <a:ext uri="{FF2B5EF4-FFF2-40B4-BE49-F238E27FC236}">
              <a16:creationId xmlns:a16="http://schemas.microsoft.com/office/drawing/2014/main" id="{F00EA61C-E86E-46EE-BDD3-3D0FD8559B45}"/>
            </a:ext>
          </a:extLst>
        </xdr:cNvPr>
        <xdr:cNvSpPr/>
      </xdr:nvSpPr>
      <xdr:spPr>
        <a:xfrm>
          <a:off x="595198" y="4465237"/>
          <a:ext cx="50800" cy="50800"/>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493486</xdr:colOff>
      <xdr:row>4</xdr:row>
      <xdr:rowOff>71664</xdr:rowOff>
    </xdr:from>
    <xdr:to>
      <xdr:col>1</xdr:col>
      <xdr:colOff>362857</xdr:colOff>
      <xdr:row>6</xdr:row>
      <xdr:rowOff>58964</xdr:rowOff>
    </xdr:to>
    <xdr:grpSp>
      <xdr:nvGrpSpPr>
        <xdr:cNvPr id="44" name="Group 43">
          <a:hlinkClick xmlns:r="http://schemas.openxmlformats.org/officeDocument/2006/relationships" r:id="rId5"/>
          <a:extLst>
            <a:ext uri="{FF2B5EF4-FFF2-40B4-BE49-F238E27FC236}">
              <a16:creationId xmlns:a16="http://schemas.microsoft.com/office/drawing/2014/main" id="{9E72DE3B-0482-444F-9453-D7F78E8C8FC9}"/>
            </a:ext>
          </a:extLst>
        </xdr:cNvPr>
        <xdr:cNvGrpSpPr/>
      </xdr:nvGrpSpPr>
      <xdr:grpSpPr>
        <a:xfrm>
          <a:off x="505678" y="809534"/>
          <a:ext cx="843969" cy="356616"/>
          <a:chOff x="1219200" y="965200"/>
          <a:chExt cx="825500" cy="355600"/>
        </a:xfrm>
      </xdr:grpSpPr>
      <xdr:sp macro="" textlink="">
        <xdr:nvSpPr>
          <xdr:cNvPr id="40" name="Rectangle: Rounded Corners 39">
            <a:extLst>
              <a:ext uri="{FF2B5EF4-FFF2-40B4-BE49-F238E27FC236}">
                <a16:creationId xmlns:a16="http://schemas.microsoft.com/office/drawing/2014/main" id="{8868BBD2-8977-4563-AAE6-2D7E7AACA754}"/>
              </a:ext>
            </a:extLst>
          </xdr:cNvPr>
          <xdr:cNvSpPr/>
        </xdr:nvSpPr>
        <xdr:spPr>
          <a:xfrm>
            <a:off x="1219200" y="965200"/>
            <a:ext cx="825500" cy="355600"/>
          </a:xfrm>
          <a:prstGeom prst="round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TextBox 41">
            <a:extLst>
              <a:ext uri="{FF2B5EF4-FFF2-40B4-BE49-F238E27FC236}">
                <a16:creationId xmlns:a16="http://schemas.microsoft.com/office/drawing/2014/main" id="{AE3232C2-D5EE-4860-9202-6EFA51D7DD7E}"/>
              </a:ext>
            </a:extLst>
          </xdr:cNvPr>
          <xdr:cNvSpPr txBox="1"/>
        </xdr:nvSpPr>
        <xdr:spPr>
          <a:xfrm>
            <a:off x="1276188" y="1029235"/>
            <a:ext cx="711525" cy="228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900" b="1">
                <a:solidFill>
                  <a:schemeClr val="tx1">
                    <a:lumMod val="85000"/>
                    <a:lumOff val="15000"/>
                  </a:schemeClr>
                </a:solidFill>
                <a:latin typeface="Segoe UI" panose="020B0502040204020203" pitchFamily="34" charset="0"/>
                <a:cs typeface="Segoe UI" panose="020B0502040204020203" pitchFamily="34" charset="0"/>
              </a:rPr>
              <a:t>Raw Data</a:t>
            </a:r>
          </a:p>
        </xdr:txBody>
      </xdr:sp>
    </xdr:grpSp>
    <xdr:clientData/>
  </xdr:twoCellAnchor>
  <xdr:twoCellAnchor>
    <xdr:from>
      <xdr:col>0</xdr:col>
      <xdr:colOff>499836</xdr:colOff>
      <xdr:row>6</xdr:row>
      <xdr:rowOff>147864</xdr:rowOff>
    </xdr:from>
    <xdr:to>
      <xdr:col>1</xdr:col>
      <xdr:colOff>369207</xdr:colOff>
      <xdr:row>8</xdr:row>
      <xdr:rowOff>135163</xdr:rowOff>
    </xdr:to>
    <xdr:grpSp>
      <xdr:nvGrpSpPr>
        <xdr:cNvPr id="45" name="Group 44">
          <a:hlinkClick xmlns:r="http://schemas.openxmlformats.org/officeDocument/2006/relationships" r:id="rId6"/>
          <a:extLst>
            <a:ext uri="{FF2B5EF4-FFF2-40B4-BE49-F238E27FC236}">
              <a16:creationId xmlns:a16="http://schemas.microsoft.com/office/drawing/2014/main" id="{0AEF6C44-C259-4636-8EED-D5E6B7C4E243}"/>
            </a:ext>
          </a:extLst>
        </xdr:cNvPr>
        <xdr:cNvGrpSpPr/>
      </xdr:nvGrpSpPr>
      <xdr:grpSpPr>
        <a:xfrm>
          <a:off x="513298" y="1254542"/>
          <a:ext cx="842445" cy="356615"/>
          <a:chOff x="1225550" y="1409700"/>
          <a:chExt cx="825500" cy="355600"/>
        </a:xfrm>
      </xdr:grpSpPr>
      <xdr:sp macro="" textlink="">
        <xdr:nvSpPr>
          <xdr:cNvPr id="41" name="Rectangle: Rounded Corners 40">
            <a:extLst>
              <a:ext uri="{FF2B5EF4-FFF2-40B4-BE49-F238E27FC236}">
                <a16:creationId xmlns:a16="http://schemas.microsoft.com/office/drawing/2014/main" id="{E4095D46-F3BC-4228-9CD4-DF67490DEBE6}"/>
              </a:ext>
            </a:extLst>
          </xdr:cNvPr>
          <xdr:cNvSpPr/>
        </xdr:nvSpPr>
        <xdr:spPr>
          <a:xfrm>
            <a:off x="1225550" y="1409700"/>
            <a:ext cx="825500" cy="355600"/>
          </a:xfrm>
          <a:prstGeom prst="round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TextBox 42">
            <a:extLst>
              <a:ext uri="{FF2B5EF4-FFF2-40B4-BE49-F238E27FC236}">
                <a16:creationId xmlns:a16="http://schemas.microsoft.com/office/drawing/2014/main" id="{D228B79C-2CE9-478F-A84D-94261127D6EF}"/>
              </a:ext>
            </a:extLst>
          </xdr:cNvPr>
          <xdr:cNvSpPr txBox="1"/>
        </xdr:nvSpPr>
        <xdr:spPr>
          <a:xfrm>
            <a:off x="1238622" y="1466479"/>
            <a:ext cx="799356" cy="227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900" b="1">
                <a:solidFill>
                  <a:schemeClr val="tx1">
                    <a:lumMod val="85000"/>
                    <a:lumOff val="15000"/>
                  </a:schemeClr>
                </a:solidFill>
                <a:latin typeface="Segoe UI" panose="020B0502040204020203" pitchFamily="34" charset="0"/>
                <a:cs typeface="Segoe UI" panose="020B0502040204020203" pitchFamily="34" charset="0"/>
              </a:rPr>
              <a:t>Pivot Table</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3.604156250003" createdVersion="7" refreshedVersion="7" minRefreshableVersion="3" recordCount="1000" xr:uid="{9B1C66AB-325F-4C0C-A4DE-4D08C9678C3B}">
  <cacheSource type="worksheet">
    <worksheetSource name="logistics_classification_dataset__1"/>
  </cacheSource>
  <cacheFields count="12">
    <cacheField name="Shipment_ID" numFmtId="0">
      <sharedItems containsSemiMixedTypes="0" containsString="0" containsNumber="1" containsInteger="1" minValue="1" maxValue="1000"/>
    </cacheField>
    <cacheField name="Origin_City" numFmtId="0">
      <sharedItems count="10">
        <s v="Konya"/>
        <s v="Bursa"/>
        <s v="Gaziantep"/>
        <s v="Antalya"/>
        <s v="Kayseri"/>
        <s v="İzmir"/>
        <s v="Adana"/>
        <s v="Ankara"/>
        <s v="İstanbul"/>
        <s v="Samsun"/>
      </sharedItems>
    </cacheField>
    <cacheField name="Destination_City" numFmtId="0">
      <sharedItems count="10">
        <s v="İstanbul"/>
        <s v="Gaziantep"/>
        <s v="Bursa"/>
        <s v="Antalya"/>
        <s v="Kayseri"/>
        <s v="Samsun"/>
        <s v="Adana"/>
        <s v="Konya"/>
        <s v="İzmir"/>
        <s v="Ankara"/>
      </sharedItems>
    </cacheField>
    <cacheField name="Shipment_Type" numFmtId="0">
      <sharedItems count="3">
        <s v="Kara"/>
        <s v="Hava"/>
        <s v="Deniz"/>
      </sharedItems>
    </cacheField>
    <cacheField name="Shipment_Type_Eng" numFmtId="0">
      <sharedItems count="3">
        <s v="Road"/>
        <s v="Air"/>
        <s v="Sea"/>
      </sharedItems>
    </cacheField>
    <cacheField name="Weight_kg" numFmtId="0">
      <sharedItems containsSemiMixedTypes="0" containsString="0" containsNumber="1" minValue="2.79" maxValue="1999.09"/>
    </cacheField>
    <cacheField name="Bucket weight" numFmtId="0">
      <sharedItems count="4">
        <s v="1001–1500"/>
        <s v="501–1000"/>
        <s v="0–500"/>
        <s v="1501–2000"/>
      </sharedItems>
    </cacheField>
    <cacheField name="Distance_km" numFmtId="164">
      <sharedItems containsSemiMixedTypes="0" containsString="0" containsNumber="1" minValue="50.4" maxValue="1995.4"/>
    </cacheField>
    <cacheField name="Distance bucket" numFmtId="0">
      <sharedItems count="4">
        <s v="1001–1500"/>
        <s v="1501–2000"/>
        <s v="501–1000"/>
        <s v="0–500"/>
      </sharedItems>
    </cacheField>
    <cacheField name="Customer_Segment" numFmtId="0">
      <sharedItems/>
    </cacheField>
    <cacheField name="Customer_Segment_Eng" numFmtId="0">
      <sharedItems count="2">
        <s v="Individual"/>
        <s v="Corporate"/>
      </sharedItems>
    </cacheField>
    <cacheField name="On_Time"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6846946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x v="0"/>
    <n v="1054.93"/>
    <x v="0"/>
    <n v="1052"/>
    <x v="0"/>
    <s v="Bireysel"/>
    <x v="0"/>
    <x v="0"/>
  </r>
  <r>
    <n v="2"/>
    <x v="1"/>
    <x v="1"/>
    <x v="0"/>
    <x v="0"/>
    <n v="929.03"/>
    <x v="1"/>
    <n v="1811.4"/>
    <x v="1"/>
    <s v="Kurumsal"/>
    <x v="1"/>
    <x v="1"/>
  </r>
  <r>
    <n v="3"/>
    <x v="2"/>
    <x v="2"/>
    <x v="1"/>
    <x v="1"/>
    <n v="473.13"/>
    <x v="2"/>
    <n v="1785.3"/>
    <x v="1"/>
    <s v="Bireysel"/>
    <x v="0"/>
    <x v="0"/>
  </r>
  <r>
    <n v="4"/>
    <x v="3"/>
    <x v="2"/>
    <x v="0"/>
    <x v="0"/>
    <n v="609.87"/>
    <x v="1"/>
    <n v="1644.8"/>
    <x v="1"/>
    <s v="Bireysel"/>
    <x v="0"/>
    <x v="0"/>
  </r>
  <r>
    <n v="5"/>
    <x v="0"/>
    <x v="3"/>
    <x v="0"/>
    <x v="0"/>
    <n v="583.49"/>
    <x v="1"/>
    <n v="1044.8"/>
    <x v="0"/>
    <s v="Kurumsal"/>
    <x v="1"/>
    <x v="1"/>
  </r>
  <r>
    <n v="6"/>
    <x v="4"/>
    <x v="1"/>
    <x v="1"/>
    <x v="1"/>
    <n v="1128.76"/>
    <x v="0"/>
    <n v="1485.7"/>
    <x v="0"/>
    <s v="Bireysel"/>
    <x v="0"/>
    <x v="0"/>
  </r>
  <r>
    <n v="7"/>
    <x v="5"/>
    <x v="3"/>
    <x v="1"/>
    <x v="1"/>
    <n v="244.31"/>
    <x v="2"/>
    <n v="1050.0999999999999"/>
    <x v="0"/>
    <s v="Bireysel"/>
    <x v="0"/>
    <x v="1"/>
  </r>
  <r>
    <n v="8"/>
    <x v="0"/>
    <x v="1"/>
    <x v="0"/>
    <x v="0"/>
    <n v="183.4"/>
    <x v="2"/>
    <n v="1745.7"/>
    <x v="1"/>
    <s v="Bireysel"/>
    <x v="0"/>
    <x v="1"/>
  </r>
  <r>
    <n v="9"/>
    <x v="2"/>
    <x v="4"/>
    <x v="2"/>
    <x v="2"/>
    <n v="1442.71"/>
    <x v="0"/>
    <n v="835.4"/>
    <x v="2"/>
    <s v="Bireysel"/>
    <x v="0"/>
    <x v="0"/>
  </r>
  <r>
    <n v="10"/>
    <x v="3"/>
    <x v="0"/>
    <x v="1"/>
    <x v="1"/>
    <n v="805.88"/>
    <x v="1"/>
    <n v="1942"/>
    <x v="1"/>
    <s v="Bireysel"/>
    <x v="0"/>
    <x v="0"/>
  </r>
  <r>
    <n v="11"/>
    <x v="1"/>
    <x v="4"/>
    <x v="0"/>
    <x v="0"/>
    <n v="321.45999999999998"/>
    <x v="2"/>
    <n v="1868"/>
    <x v="1"/>
    <s v="Bireysel"/>
    <x v="0"/>
    <x v="0"/>
  </r>
  <r>
    <n v="12"/>
    <x v="2"/>
    <x v="5"/>
    <x v="1"/>
    <x v="1"/>
    <n v="1764.57"/>
    <x v="3"/>
    <n v="1496.1"/>
    <x v="0"/>
    <s v="Bireysel"/>
    <x v="0"/>
    <x v="0"/>
  </r>
  <r>
    <n v="13"/>
    <x v="2"/>
    <x v="6"/>
    <x v="0"/>
    <x v="0"/>
    <n v="1648.44"/>
    <x v="3"/>
    <n v="594.9"/>
    <x v="2"/>
    <s v="Bireysel"/>
    <x v="0"/>
    <x v="0"/>
  </r>
  <r>
    <n v="14"/>
    <x v="5"/>
    <x v="3"/>
    <x v="0"/>
    <x v="0"/>
    <n v="1444.83"/>
    <x v="0"/>
    <n v="306.7"/>
    <x v="3"/>
    <s v="Kurumsal"/>
    <x v="1"/>
    <x v="0"/>
  </r>
  <r>
    <n v="15"/>
    <x v="6"/>
    <x v="1"/>
    <x v="0"/>
    <x v="0"/>
    <n v="546.74"/>
    <x v="1"/>
    <n v="1716.7"/>
    <x v="1"/>
    <s v="Kurumsal"/>
    <x v="1"/>
    <x v="0"/>
  </r>
  <r>
    <n v="16"/>
    <x v="3"/>
    <x v="5"/>
    <x v="0"/>
    <x v="0"/>
    <n v="807.88"/>
    <x v="1"/>
    <n v="372.3"/>
    <x v="3"/>
    <s v="Kurumsal"/>
    <x v="1"/>
    <x v="0"/>
  </r>
  <r>
    <n v="17"/>
    <x v="7"/>
    <x v="6"/>
    <x v="1"/>
    <x v="1"/>
    <n v="209.98"/>
    <x v="2"/>
    <n v="1715.8"/>
    <x v="1"/>
    <s v="Kurumsal"/>
    <x v="1"/>
    <x v="0"/>
  </r>
  <r>
    <n v="18"/>
    <x v="2"/>
    <x v="7"/>
    <x v="0"/>
    <x v="0"/>
    <n v="382.13"/>
    <x v="2"/>
    <n v="1007"/>
    <x v="0"/>
    <s v="Bireysel"/>
    <x v="0"/>
    <x v="0"/>
  </r>
  <r>
    <n v="19"/>
    <x v="6"/>
    <x v="0"/>
    <x v="1"/>
    <x v="1"/>
    <n v="1567.12"/>
    <x v="3"/>
    <n v="842.8"/>
    <x v="2"/>
    <s v="Kurumsal"/>
    <x v="1"/>
    <x v="0"/>
  </r>
  <r>
    <n v="20"/>
    <x v="7"/>
    <x v="3"/>
    <x v="1"/>
    <x v="1"/>
    <n v="143.15"/>
    <x v="2"/>
    <n v="1811.2"/>
    <x v="1"/>
    <s v="Bireysel"/>
    <x v="0"/>
    <x v="0"/>
  </r>
  <r>
    <n v="21"/>
    <x v="3"/>
    <x v="4"/>
    <x v="0"/>
    <x v="0"/>
    <n v="118.9"/>
    <x v="2"/>
    <n v="1227.5"/>
    <x v="0"/>
    <s v="Bireysel"/>
    <x v="0"/>
    <x v="1"/>
  </r>
  <r>
    <n v="22"/>
    <x v="8"/>
    <x v="4"/>
    <x v="1"/>
    <x v="1"/>
    <n v="1791.97"/>
    <x v="3"/>
    <n v="1174.4000000000001"/>
    <x v="0"/>
    <s v="Bireysel"/>
    <x v="0"/>
    <x v="1"/>
  </r>
  <r>
    <n v="23"/>
    <x v="4"/>
    <x v="2"/>
    <x v="0"/>
    <x v="0"/>
    <n v="1168.6199999999999"/>
    <x v="0"/>
    <n v="1139.5999999999999"/>
    <x v="0"/>
    <s v="Bireysel"/>
    <x v="0"/>
    <x v="0"/>
  </r>
  <r>
    <n v="24"/>
    <x v="6"/>
    <x v="5"/>
    <x v="0"/>
    <x v="0"/>
    <n v="93.66"/>
    <x v="2"/>
    <n v="773.8"/>
    <x v="2"/>
    <s v="Kurumsal"/>
    <x v="1"/>
    <x v="1"/>
  </r>
  <r>
    <n v="25"/>
    <x v="9"/>
    <x v="7"/>
    <x v="1"/>
    <x v="1"/>
    <n v="684.04"/>
    <x v="1"/>
    <n v="1582"/>
    <x v="1"/>
    <s v="Kurumsal"/>
    <x v="1"/>
    <x v="0"/>
  </r>
  <r>
    <n v="26"/>
    <x v="8"/>
    <x v="5"/>
    <x v="0"/>
    <x v="0"/>
    <n v="1881.19"/>
    <x v="3"/>
    <n v="543"/>
    <x v="2"/>
    <s v="Bireysel"/>
    <x v="0"/>
    <x v="0"/>
  </r>
  <r>
    <n v="27"/>
    <x v="4"/>
    <x v="0"/>
    <x v="0"/>
    <x v="0"/>
    <n v="170.02"/>
    <x v="2"/>
    <n v="1880.8"/>
    <x v="1"/>
    <s v="Kurumsal"/>
    <x v="1"/>
    <x v="0"/>
  </r>
  <r>
    <n v="28"/>
    <x v="5"/>
    <x v="6"/>
    <x v="0"/>
    <x v="0"/>
    <n v="1862.12"/>
    <x v="3"/>
    <n v="1793.3"/>
    <x v="1"/>
    <s v="Bireysel"/>
    <x v="0"/>
    <x v="0"/>
  </r>
  <r>
    <n v="29"/>
    <x v="0"/>
    <x v="1"/>
    <x v="0"/>
    <x v="0"/>
    <n v="165.43"/>
    <x v="2"/>
    <n v="708.1"/>
    <x v="2"/>
    <s v="Bireysel"/>
    <x v="0"/>
    <x v="1"/>
  </r>
  <r>
    <n v="30"/>
    <x v="1"/>
    <x v="8"/>
    <x v="0"/>
    <x v="0"/>
    <n v="264.20999999999998"/>
    <x v="2"/>
    <n v="1472.5"/>
    <x v="0"/>
    <s v="Bireysel"/>
    <x v="0"/>
    <x v="0"/>
  </r>
  <r>
    <n v="31"/>
    <x v="9"/>
    <x v="1"/>
    <x v="0"/>
    <x v="0"/>
    <n v="1132.1400000000001"/>
    <x v="0"/>
    <n v="1167.8"/>
    <x v="0"/>
    <s v="Bireysel"/>
    <x v="0"/>
    <x v="0"/>
  </r>
  <r>
    <n v="32"/>
    <x v="5"/>
    <x v="3"/>
    <x v="2"/>
    <x v="2"/>
    <n v="1733.76"/>
    <x v="3"/>
    <n v="708.4"/>
    <x v="2"/>
    <s v="Kurumsal"/>
    <x v="1"/>
    <x v="0"/>
  </r>
  <r>
    <n v="33"/>
    <x v="3"/>
    <x v="5"/>
    <x v="0"/>
    <x v="0"/>
    <n v="1145.76"/>
    <x v="0"/>
    <n v="1977.6"/>
    <x v="1"/>
    <s v="Kurumsal"/>
    <x v="1"/>
    <x v="0"/>
  </r>
  <r>
    <n v="34"/>
    <x v="5"/>
    <x v="3"/>
    <x v="0"/>
    <x v="0"/>
    <n v="1814.86"/>
    <x v="3"/>
    <n v="99.2"/>
    <x v="3"/>
    <s v="Kurumsal"/>
    <x v="1"/>
    <x v="0"/>
  </r>
  <r>
    <n v="35"/>
    <x v="0"/>
    <x v="5"/>
    <x v="0"/>
    <x v="0"/>
    <n v="1886.25"/>
    <x v="3"/>
    <n v="542.70000000000005"/>
    <x v="2"/>
    <s v="Bireysel"/>
    <x v="0"/>
    <x v="0"/>
  </r>
  <r>
    <n v="36"/>
    <x v="3"/>
    <x v="4"/>
    <x v="0"/>
    <x v="0"/>
    <n v="847.66"/>
    <x v="1"/>
    <n v="1064.0999999999999"/>
    <x v="0"/>
    <s v="Kurumsal"/>
    <x v="1"/>
    <x v="0"/>
  </r>
  <r>
    <n v="37"/>
    <x v="9"/>
    <x v="2"/>
    <x v="2"/>
    <x v="2"/>
    <n v="757.74"/>
    <x v="1"/>
    <n v="1067.8"/>
    <x v="0"/>
    <s v="Bireysel"/>
    <x v="0"/>
    <x v="0"/>
  </r>
  <r>
    <n v="38"/>
    <x v="0"/>
    <x v="5"/>
    <x v="1"/>
    <x v="1"/>
    <n v="1872.96"/>
    <x v="3"/>
    <n v="1198.4000000000001"/>
    <x v="0"/>
    <s v="Kurumsal"/>
    <x v="1"/>
    <x v="0"/>
  </r>
  <r>
    <n v="39"/>
    <x v="7"/>
    <x v="3"/>
    <x v="1"/>
    <x v="1"/>
    <n v="135.19"/>
    <x v="2"/>
    <n v="1515.8"/>
    <x v="1"/>
    <s v="Bireysel"/>
    <x v="0"/>
    <x v="0"/>
  </r>
  <r>
    <n v="40"/>
    <x v="1"/>
    <x v="4"/>
    <x v="0"/>
    <x v="0"/>
    <n v="236.47"/>
    <x v="2"/>
    <n v="1265.8"/>
    <x v="0"/>
    <s v="Bireysel"/>
    <x v="0"/>
    <x v="0"/>
  </r>
  <r>
    <n v="41"/>
    <x v="9"/>
    <x v="8"/>
    <x v="0"/>
    <x v="0"/>
    <n v="89.37"/>
    <x v="2"/>
    <n v="1220.5"/>
    <x v="0"/>
    <s v="Bireysel"/>
    <x v="0"/>
    <x v="0"/>
  </r>
  <r>
    <n v="42"/>
    <x v="7"/>
    <x v="8"/>
    <x v="0"/>
    <x v="0"/>
    <n v="1131.43"/>
    <x v="0"/>
    <n v="154.4"/>
    <x v="3"/>
    <s v="Bireysel"/>
    <x v="0"/>
    <x v="0"/>
  </r>
  <r>
    <n v="43"/>
    <x v="4"/>
    <x v="2"/>
    <x v="1"/>
    <x v="1"/>
    <n v="1860.69"/>
    <x v="3"/>
    <n v="784.2"/>
    <x v="2"/>
    <s v="Bireysel"/>
    <x v="0"/>
    <x v="0"/>
  </r>
  <r>
    <n v="44"/>
    <x v="9"/>
    <x v="8"/>
    <x v="0"/>
    <x v="0"/>
    <n v="1689.28"/>
    <x v="3"/>
    <n v="502.5"/>
    <x v="2"/>
    <s v="Bireysel"/>
    <x v="0"/>
    <x v="0"/>
  </r>
  <r>
    <n v="45"/>
    <x v="4"/>
    <x v="0"/>
    <x v="0"/>
    <x v="0"/>
    <n v="1353.32"/>
    <x v="0"/>
    <n v="567.5"/>
    <x v="2"/>
    <s v="Bireysel"/>
    <x v="0"/>
    <x v="0"/>
  </r>
  <r>
    <n v="46"/>
    <x v="3"/>
    <x v="6"/>
    <x v="2"/>
    <x v="2"/>
    <n v="282.54000000000002"/>
    <x v="2"/>
    <n v="1131"/>
    <x v="0"/>
    <s v="Bireysel"/>
    <x v="0"/>
    <x v="1"/>
  </r>
  <r>
    <n v="47"/>
    <x v="7"/>
    <x v="8"/>
    <x v="0"/>
    <x v="0"/>
    <n v="512.19000000000005"/>
    <x v="1"/>
    <n v="439"/>
    <x v="3"/>
    <s v="Bireysel"/>
    <x v="0"/>
    <x v="0"/>
  </r>
  <r>
    <n v="48"/>
    <x v="1"/>
    <x v="7"/>
    <x v="0"/>
    <x v="0"/>
    <n v="1751.64"/>
    <x v="3"/>
    <n v="623.20000000000005"/>
    <x v="2"/>
    <s v="Bireysel"/>
    <x v="0"/>
    <x v="0"/>
  </r>
  <r>
    <n v="49"/>
    <x v="0"/>
    <x v="9"/>
    <x v="0"/>
    <x v="0"/>
    <n v="36.97"/>
    <x v="2"/>
    <n v="512.29999999999995"/>
    <x v="2"/>
    <s v="Bireysel"/>
    <x v="0"/>
    <x v="1"/>
  </r>
  <r>
    <n v="50"/>
    <x v="2"/>
    <x v="9"/>
    <x v="2"/>
    <x v="2"/>
    <n v="560.49"/>
    <x v="1"/>
    <n v="1899.6"/>
    <x v="1"/>
    <s v="Bireysel"/>
    <x v="0"/>
    <x v="0"/>
  </r>
  <r>
    <n v="51"/>
    <x v="5"/>
    <x v="0"/>
    <x v="0"/>
    <x v="0"/>
    <n v="263.55"/>
    <x v="2"/>
    <n v="1892.1"/>
    <x v="1"/>
    <s v="Bireysel"/>
    <x v="0"/>
    <x v="0"/>
  </r>
  <r>
    <n v="52"/>
    <x v="8"/>
    <x v="8"/>
    <x v="1"/>
    <x v="1"/>
    <n v="1353.84"/>
    <x v="0"/>
    <n v="1239.4000000000001"/>
    <x v="0"/>
    <s v="Kurumsal"/>
    <x v="1"/>
    <x v="0"/>
  </r>
  <r>
    <n v="53"/>
    <x v="1"/>
    <x v="6"/>
    <x v="1"/>
    <x v="1"/>
    <n v="1888.24"/>
    <x v="3"/>
    <n v="1852.8"/>
    <x v="1"/>
    <s v="Kurumsal"/>
    <x v="1"/>
    <x v="0"/>
  </r>
  <r>
    <n v="54"/>
    <x v="7"/>
    <x v="1"/>
    <x v="0"/>
    <x v="0"/>
    <n v="541.59"/>
    <x v="1"/>
    <n v="1582.3"/>
    <x v="1"/>
    <s v="Bireysel"/>
    <x v="0"/>
    <x v="0"/>
  </r>
  <r>
    <n v="55"/>
    <x v="2"/>
    <x v="5"/>
    <x v="1"/>
    <x v="1"/>
    <n v="953.44"/>
    <x v="1"/>
    <n v="1200.4000000000001"/>
    <x v="0"/>
    <s v="Kurumsal"/>
    <x v="1"/>
    <x v="1"/>
  </r>
  <r>
    <n v="56"/>
    <x v="1"/>
    <x v="7"/>
    <x v="0"/>
    <x v="0"/>
    <n v="1270.51"/>
    <x v="0"/>
    <n v="62.5"/>
    <x v="3"/>
    <s v="Kurumsal"/>
    <x v="1"/>
    <x v="0"/>
  </r>
  <r>
    <n v="57"/>
    <x v="7"/>
    <x v="2"/>
    <x v="0"/>
    <x v="0"/>
    <n v="1998.94"/>
    <x v="3"/>
    <n v="1556.4"/>
    <x v="1"/>
    <s v="Kurumsal"/>
    <x v="1"/>
    <x v="0"/>
  </r>
  <r>
    <n v="58"/>
    <x v="6"/>
    <x v="0"/>
    <x v="1"/>
    <x v="1"/>
    <n v="214.09"/>
    <x v="2"/>
    <n v="1419.9"/>
    <x v="0"/>
    <s v="Bireysel"/>
    <x v="0"/>
    <x v="1"/>
  </r>
  <r>
    <n v="59"/>
    <x v="6"/>
    <x v="3"/>
    <x v="1"/>
    <x v="1"/>
    <n v="999.65"/>
    <x v="1"/>
    <n v="1249.7"/>
    <x v="0"/>
    <s v="Bireysel"/>
    <x v="0"/>
    <x v="1"/>
  </r>
  <r>
    <n v="60"/>
    <x v="4"/>
    <x v="1"/>
    <x v="1"/>
    <x v="1"/>
    <n v="773.31"/>
    <x v="1"/>
    <n v="1532.8"/>
    <x v="1"/>
    <s v="Bireysel"/>
    <x v="0"/>
    <x v="0"/>
  </r>
  <r>
    <n v="61"/>
    <x v="1"/>
    <x v="0"/>
    <x v="0"/>
    <x v="0"/>
    <n v="1732.31"/>
    <x v="3"/>
    <n v="1050.2"/>
    <x v="0"/>
    <s v="Bireysel"/>
    <x v="0"/>
    <x v="0"/>
  </r>
  <r>
    <n v="62"/>
    <x v="6"/>
    <x v="0"/>
    <x v="0"/>
    <x v="0"/>
    <n v="954.56"/>
    <x v="1"/>
    <n v="1423"/>
    <x v="0"/>
    <s v="Bireysel"/>
    <x v="0"/>
    <x v="0"/>
  </r>
  <r>
    <n v="63"/>
    <x v="7"/>
    <x v="6"/>
    <x v="0"/>
    <x v="0"/>
    <n v="22.64"/>
    <x v="2"/>
    <n v="1873.6"/>
    <x v="1"/>
    <s v="Bireysel"/>
    <x v="0"/>
    <x v="0"/>
  </r>
  <r>
    <n v="64"/>
    <x v="4"/>
    <x v="1"/>
    <x v="0"/>
    <x v="0"/>
    <n v="1270.68"/>
    <x v="0"/>
    <n v="782.8"/>
    <x v="2"/>
    <s v="Kurumsal"/>
    <x v="1"/>
    <x v="0"/>
  </r>
  <r>
    <n v="65"/>
    <x v="7"/>
    <x v="0"/>
    <x v="0"/>
    <x v="0"/>
    <n v="1542.71"/>
    <x v="3"/>
    <n v="1430.8"/>
    <x v="0"/>
    <s v="Kurumsal"/>
    <x v="1"/>
    <x v="1"/>
  </r>
  <r>
    <n v="66"/>
    <x v="4"/>
    <x v="3"/>
    <x v="0"/>
    <x v="0"/>
    <n v="10.75"/>
    <x v="2"/>
    <n v="977.6"/>
    <x v="2"/>
    <s v="Bireysel"/>
    <x v="0"/>
    <x v="0"/>
  </r>
  <r>
    <n v="67"/>
    <x v="1"/>
    <x v="0"/>
    <x v="0"/>
    <x v="0"/>
    <n v="1718.62"/>
    <x v="3"/>
    <n v="1365.1"/>
    <x v="0"/>
    <s v="Bireysel"/>
    <x v="0"/>
    <x v="0"/>
  </r>
  <r>
    <n v="68"/>
    <x v="2"/>
    <x v="7"/>
    <x v="0"/>
    <x v="0"/>
    <n v="376.12"/>
    <x v="2"/>
    <n v="1537.6"/>
    <x v="1"/>
    <s v="Bireysel"/>
    <x v="0"/>
    <x v="0"/>
  </r>
  <r>
    <n v="69"/>
    <x v="0"/>
    <x v="0"/>
    <x v="0"/>
    <x v="0"/>
    <n v="1106.3800000000001"/>
    <x v="0"/>
    <n v="138.6"/>
    <x v="3"/>
    <s v="Kurumsal"/>
    <x v="1"/>
    <x v="0"/>
  </r>
  <r>
    <n v="70"/>
    <x v="9"/>
    <x v="2"/>
    <x v="0"/>
    <x v="0"/>
    <n v="834.52"/>
    <x v="1"/>
    <n v="1310.9"/>
    <x v="0"/>
    <s v="Bireysel"/>
    <x v="0"/>
    <x v="0"/>
  </r>
  <r>
    <n v="71"/>
    <x v="2"/>
    <x v="5"/>
    <x v="1"/>
    <x v="1"/>
    <n v="1440.71"/>
    <x v="0"/>
    <n v="492.1"/>
    <x v="3"/>
    <s v="Bireysel"/>
    <x v="0"/>
    <x v="0"/>
  </r>
  <r>
    <n v="72"/>
    <x v="3"/>
    <x v="0"/>
    <x v="0"/>
    <x v="0"/>
    <n v="745.47"/>
    <x v="1"/>
    <n v="1356.6"/>
    <x v="0"/>
    <s v="Bireysel"/>
    <x v="0"/>
    <x v="0"/>
  </r>
  <r>
    <n v="73"/>
    <x v="7"/>
    <x v="2"/>
    <x v="2"/>
    <x v="2"/>
    <n v="1740.18"/>
    <x v="3"/>
    <n v="963.2"/>
    <x v="2"/>
    <s v="Bireysel"/>
    <x v="0"/>
    <x v="0"/>
  </r>
  <r>
    <n v="74"/>
    <x v="3"/>
    <x v="6"/>
    <x v="1"/>
    <x v="1"/>
    <n v="1462.34"/>
    <x v="0"/>
    <n v="1558.4"/>
    <x v="1"/>
    <s v="Bireysel"/>
    <x v="0"/>
    <x v="0"/>
  </r>
  <r>
    <n v="75"/>
    <x v="2"/>
    <x v="6"/>
    <x v="0"/>
    <x v="0"/>
    <n v="1297.19"/>
    <x v="0"/>
    <n v="290.60000000000002"/>
    <x v="3"/>
    <s v="Bireysel"/>
    <x v="0"/>
    <x v="0"/>
  </r>
  <r>
    <n v="76"/>
    <x v="4"/>
    <x v="1"/>
    <x v="1"/>
    <x v="1"/>
    <n v="159.35"/>
    <x v="2"/>
    <n v="1271.3"/>
    <x v="0"/>
    <s v="Kurumsal"/>
    <x v="1"/>
    <x v="0"/>
  </r>
  <r>
    <n v="77"/>
    <x v="9"/>
    <x v="0"/>
    <x v="0"/>
    <x v="0"/>
    <n v="1509.28"/>
    <x v="3"/>
    <n v="593"/>
    <x v="2"/>
    <s v="Kurumsal"/>
    <x v="1"/>
    <x v="0"/>
  </r>
  <r>
    <n v="78"/>
    <x v="9"/>
    <x v="7"/>
    <x v="0"/>
    <x v="0"/>
    <n v="7.67"/>
    <x v="2"/>
    <n v="1713.3"/>
    <x v="1"/>
    <s v="Kurumsal"/>
    <x v="1"/>
    <x v="0"/>
  </r>
  <r>
    <n v="79"/>
    <x v="8"/>
    <x v="3"/>
    <x v="0"/>
    <x v="0"/>
    <n v="79.25"/>
    <x v="2"/>
    <n v="1860.3"/>
    <x v="1"/>
    <s v="Kurumsal"/>
    <x v="1"/>
    <x v="0"/>
  </r>
  <r>
    <n v="80"/>
    <x v="9"/>
    <x v="7"/>
    <x v="0"/>
    <x v="0"/>
    <n v="1861.96"/>
    <x v="3"/>
    <n v="1993"/>
    <x v="1"/>
    <s v="Bireysel"/>
    <x v="0"/>
    <x v="0"/>
  </r>
  <r>
    <n v="81"/>
    <x v="0"/>
    <x v="8"/>
    <x v="0"/>
    <x v="0"/>
    <n v="255.82"/>
    <x v="2"/>
    <n v="1602.2"/>
    <x v="1"/>
    <s v="Bireysel"/>
    <x v="0"/>
    <x v="0"/>
  </r>
  <r>
    <n v="82"/>
    <x v="9"/>
    <x v="1"/>
    <x v="0"/>
    <x v="0"/>
    <n v="1475.51"/>
    <x v="0"/>
    <n v="1519.8"/>
    <x v="1"/>
    <s v="Kurumsal"/>
    <x v="1"/>
    <x v="0"/>
  </r>
  <r>
    <n v="83"/>
    <x v="2"/>
    <x v="8"/>
    <x v="1"/>
    <x v="1"/>
    <n v="1949.31"/>
    <x v="3"/>
    <n v="470.2"/>
    <x v="3"/>
    <s v="Kurumsal"/>
    <x v="1"/>
    <x v="0"/>
  </r>
  <r>
    <n v="84"/>
    <x v="8"/>
    <x v="5"/>
    <x v="1"/>
    <x v="1"/>
    <n v="109.14"/>
    <x v="2"/>
    <n v="705.2"/>
    <x v="2"/>
    <s v="Bireysel"/>
    <x v="0"/>
    <x v="1"/>
  </r>
  <r>
    <n v="85"/>
    <x v="2"/>
    <x v="7"/>
    <x v="0"/>
    <x v="0"/>
    <n v="1365.98"/>
    <x v="0"/>
    <n v="958.1"/>
    <x v="2"/>
    <s v="Bireysel"/>
    <x v="0"/>
    <x v="0"/>
  </r>
  <r>
    <n v="86"/>
    <x v="2"/>
    <x v="8"/>
    <x v="1"/>
    <x v="1"/>
    <n v="938.97"/>
    <x v="1"/>
    <n v="1558.1"/>
    <x v="1"/>
    <s v="Bireysel"/>
    <x v="0"/>
    <x v="0"/>
  </r>
  <r>
    <n v="87"/>
    <x v="5"/>
    <x v="9"/>
    <x v="0"/>
    <x v="0"/>
    <n v="1160.45"/>
    <x v="0"/>
    <n v="1834.2"/>
    <x v="1"/>
    <s v="Bireysel"/>
    <x v="0"/>
    <x v="0"/>
  </r>
  <r>
    <n v="88"/>
    <x v="8"/>
    <x v="2"/>
    <x v="0"/>
    <x v="0"/>
    <n v="175.26"/>
    <x v="2"/>
    <n v="418.8"/>
    <x v="3"/>
    <s v="Bireysel"/>
    <x v="0"/>
    <x v="0"/>
  </r>
  <r>
    <n v="89"/>
    <x v="2"/>
    <x v="8"/>
    <x v="1"/>
    <x v="1"/>
    <n v="9.08"/>
    <x v="2"/>
    <n v="1848.6"/>
    <x v="1"/>
    <s v="Bireysel"/>
    <x v="0"/>
    <x v="1"/>
  </r>
  <r>
    <n v="90"/>
    <x v="5"/>
    <x v="9"/>
    <x v="0"/>
    <x v="0"/>
    <n v="133.54"/>
    <x v="2"/>
    <n v="1406.5"/>
    <x v="0"/>
    <s v="Bireysel"/>
    <x v="0"/>
    <x v="0"/>
  </r>
  <r>
    <n v="91"/>
    <x v="5"/>
    <x v="9"/>
    <x v="0"/>
    <x v="0"/>
    <n v="164.75"/>
    <x v="2"/>
    <n v="1241"/>
    <x v="0"/>
    <s v="Bireysel"/>
    <x v="0"/>
    <x v="0"/>
  </r>
  <r>
    <n v="92"/>
    <x v="8"/>
    <x v="6"/>
    <x v="0"/>
    <x v="0"/>
    <n v="1565.12"/>
    <x v="3"/>
    <n v="439.7"/>
    <x v="3"/>
    <s v="Kurumsal"/>
    <x v="1"/>
    <x v="0"/>
  </r>
  <r>
    <n v="93"/>
    <x v="3"/>
    <x v="0"/>
    <x v="0"/>
    <x v="0"/>
    <n v="1089.8900000000001"/>
    <x v="0"/>
    <n v="158.30000000000001"/>
    <x v="3"/>
    <s v="Bireysel"/>
    <x v="0"/>
    <x v="0"/>
  </r>
  <r>
    <n v="94"/>
    <x v="4"/>
    <x v="9"/>
    <x v="2"/>
    <x v="2"/>
    <n v="204.23"/>
    <x v="2"/>
    <n v="1158.5"/>
    <x v="0"/>
    <s v="Bireysel"/>
    <x v="0"/>
    <x v="0"/>
  </r>
  <r>
    <n v="95"/>
    <x v="0"/>
    <x v="6"/>
    <x v="0"/>
    <x v="0"/>
    <n v="1377.65"/>
    <x v="0"/>
    <n v="1320.5"/>
    <x v="0"/>
    <s v="Bireysel"/>
    <x v="0"/>
    <x v="0"/>
  </r>
  <r>
    <n v="96"/>
    <x v="4"/>
    <x v="8"/>
    <x v="2"/>
    <x v="2"/>
    <n v="487.57"/>
    <x v="2"/>
    <n v="461"/>
    <x v="3"/>
    <s v="Kurumsal"/>
    <x v="1"/>
    <x v="0"/>
  </r>
  <r>
    <n v="97"/>
    <x v="9"/>
    <x v="2"/>
    <x v="0"/>
    <x v="0"/>
    <n v="1822.58"/>
    <x v="3"/>
    <n v="1135.0999999999999"/>
    <x v="0"/>
    <s v="Bireysel"/>
    <x v="0"/>
    <x v="0"/>
  </r>
  <r>
    <n v="98"/>
    <x v="0"/>
    <x v="0"/>
    <x v="0"/>
    <x v="0"/>
    <n v="1677.34"/>
    <x v="3"/>
    <n v="1720.2"/>
    <x v="1"/>
    <s v="Kurumsal"/>
    <x v="1"/>
    <x v="1"/>
  </r>
  <r>
    <n v="99"/>
    <x v="9"/>
    <x v="1"/>
    <x v="0"/>
    <x v="0"/>
    <n v="1420.22"/>
    <x v="0"/>
    <n v="1678.4"/>
    <x v="1"/>
    <s v="Bireysel"/>
    <x v="0"/>
    <x v="1"/>
  </r>
  <r>
    <n v="100"/>
    <x v="2"/>
    <x v="7"/>
    <x v="1"/>
    <x v="1"/>
    <n v="1897.95"/>
    <x v="3"/>
    <n v="1858.3"/>
    <x v="1"/>
    <s v="Kurumsal"/>
    <x v="1"/>
    <x v="0"/>
  </r>
  <r>
    <n v="101"/>
    <x v="7"/>
    <x v="7"/>
    <x v="0"/>
    <x v="0"/>
    <n v="67.69"/>
    <x v="2"/>
    <n v="763.5"/>
    <x v="2"/>
    <s v="Kurumsal"/>
    <x v="1"/>
    <x v="0"/>
  </r>
  <r>
    <n v="102"/>
    <x v="8"/>
    <x v="8"/>
    <x v="1"/>
    <x v="1"/>
    <n v="1473.72"/>
    <x v="0"/>
    <n v="670.2"/>
    <x v="2"/>
    <s v="Bireysel"/>
    <x v="0"/>
    <x v="0"/>
  </r>
  <r>
    <n v="103"/>
    <x v="0"/>
    <x v="4"/>
    <x v="1"/>
    <x v="1"/>
    <n v="663.83"/>
    <x v="1"/>
    <n v="1511.4"/>
    <x v="1"/>
    <s v="Bireysel"/>
    <x v="0"/>
    <x v="0"/>
  </r>
  <r>
    <n v="104"/>
    <x v="0"/>
    <x v="4"/>
    <x v="0"/>
    <x v="0"/>
    <n v="181.26"/>
    <x v="2"/>
    <n v="890.7"/>
    <x v="2"/>
    <s v="Bireysel"/>
    <x v="0"/>
    <x v="1"/>
  </r>
  <r>
    <n v="105"/>
    <x v="2"/>
    <x v="8"/>
    <x v="2"/>
    <x v="2"/>
    <n v="537.02"/>
    <x v="1"/>
    <n v="220.7"/>
    <x v="3"/>
    <s v="Bireysel"/>
    <x v="0"/>
    <x v="0"/>
  </r>
  <r>
    <n v="106"/>
    <x v="3"/>
    <x v="9"/>
    <x v="1"/>
    <x v="1"/>
    <n v="1451.09"/>
    <x v="0"/>
    <n v="601.5"/>
    <x v="2"/>
    <s v="Bireysel"/>
    <x v="0"/>
    <x v="0"/>
  </r>
  <r>
    <n v="107"/>
    <x v="5"/>
    <x v="0"/>
    <x v="1"/>
    <x v="1"/>
    <n v="1755.91"/>
    <x v="3"/>
    <n v="866.2"/>
    <x v="2"/>
    <s v="Bireysel"/>
    <x v="0"/>
    <x v="0"/>
  </r>
  <r>
    <n v="108"/>
    <x v="2"/>
    <x v="7"/>
    <x v="0"/>
    <x v="0"/>
    <n v="88.11"/>
    <x v="2"/>
    <n v="620.4"/>
    <x v="2"/>
    <s v="Bireysel"/>
    <x v="0"/>
    <x v="0"/>
  </r>
  <r>
    <n v="109"/>
    <x v="6"/>
    <x v="7"/>
    <x v="0"/>
    <x v="0"/>
    <n v="798.31"/>
    <x v="1"/>
    <n v="697.8"/>
    <x v="2"/>
    <s v="Bireysel"/>
    <x v="0"/>
    <x v="1"/>
  </r>
  <r>
    <n v="110"/>
    <x v="5"/>
    <x v="9"/>
    <x v="0"/>
    <x v="0"/>
    <n v="1525.81"/>
    <x v="3"/>
    <n v="622.9"/>
    <x v="2"/>
    <s v="Bireysel"/>
    <x v="0"/>
    <x v="1"/>
  </r>
  <r>
    <n v="111"/>
    <x v="8"/>
    <x v="7"/>
    <x v="0"/>
    <x v="0"/>
    <n v="912.56"/>
    <x v="1"/>
    <n v="130.9"/>
    <x v="3"/>
    <s v="Bireysel"/>
    <x v="0"/>
    <x v="0"/>
  </r>
  <r>
    <n v="112"/>
    <x v="5"/>
    <x v="1"/>
    <x v="0"/>
    <x v="0"/>
    <n v="538.16999999999996"/>
    <x v="1"/>
    <n v="1292.3"/>
    <x v="0"/>
    <s v="Bireysel"/>
    <x v="0"/>
    <x v="0"/>
  </r>
  <r>
    <n v="113"/>
    <x v="3"/>
    <x v="0"/>
    <x v="1"/>
    <x v="1"/>
    <n v="443.51"/>
    <x v="2"/>
    <n v="1214.7"/>
    <x v="0"/>
    <s v="Bireysel"/>
    <x v="0"/>
    <x v="1"/>
  </r>
  <r>
    <n v="114"/>
    <x v="5"/>
    <x v="5"/>
    <x v="0"/>
    <x v="0"/>
    <n v="267.38"/>
    <x v="2"/>
    <n v="1324.1"/>
    <x v="0"/>
    <s v="Bireysel"/>
    <x v="0"/>
    <x v="1"/>
  </r>
  <r>
    <n v="115"/>
    <x v="8"/>
    <x v="7"/>
    <x v="0"/>
    <x v="0"/>
    <n v="1714.97"/>
    <x v="3"/>
    <n v="425"/>
    <x v="3"/>
    <s v="Bireysel"/>
    <x v="0"/>
    <x v="0"/>
  </r>
  <r>
    <n v="116"/>
    <x v="3"/>
    <x v="8"/>
    <x v="2"/>
    <x v="2"/>
    <n v="1152.83"/>
    <x v="0"/>
    <n v="626.5"/>
    <x v="2"/>
    <s v="Kurumsal"/>
    <x v="1"/>
    <x v="0"/>
  </r>
  <r>
    <n v="117"/>
    <x v="4"/>
    <x v="1"/>
    <x v="1"/>
    <x v="1"/>
    <n v="157.38999999999999"/>
    <x v="2"/>
    <n v="1258.3"/>
    <x v="0"/>
    <s v="Bireysel"/>
    <x v="0"/>
    <x v="0"/>
  </r>
  <r>
    <n v="118"/>
    <x v="0"/>
    <x v="5"/>
    <x v="0"/>
    <x v="0"/>
    <n v="768.25"/>
    <x v="1"/>
    <n v="1219.3"/>
    <x v="0"/>
    <s v="Bireysel"/>
    <x v="0"/>
    <x v="0"/>
  </r>
  <r>
    <n v="119"/>
    <x v="0"/>
    <x v="1"/>
    <x v="1"/>
    <x v="1"/>
    <n v="738.63"/>
    <x v="1"/>
    <n v="1037.3"/>
    <x v="0"/>
    <s v="Bireysel"/>
    <x v="0"/>
    <x v="1"/>
  </r>
  <r>
    <n v="120"/>
    <x v="9"/>
    <x v="6"/>
    <x v="0"/>
    <x v="0"/>
    <n v="367.57"/>
    <x v="2"/>
    <n v="733.3"/>
    <x v="2"/>
    <s v="Kurumsal"/>
    <x v="1"/>
    <x v="0"/>
  </r>
  <r>
    <n v="121"/>
    <x v="4"/>
    <x v="5"/>
    <x v="0"/>
    <x v="0"/>
    <n v="873.84"/>
    <x v="1"/>
    <n v="1830.2"/>
    <x v="1"/>
    <s v="Kurumsal"/>
    <x v="1"/>
    <x v="1"/>
  </r>
  <r>
    <n v="122"/>
    <x v="4"/>
    <x v="3"/>
    <x v="1"/>
    <x v="1"/>
    <n v="667.54"/>
    <x v="1"/>
    <n v="712.6"/>
    <x v="2"/>
    <s v="Kurumsal"/>
    <x v="1"/>
    <x v="0"/>
  </r>
  <r>
    <n v="123"/>
    <x v="5"/>
    <x v="5"/>
    <x v="0"/>
    <x v="0"/>
    <n v="68.69"/>
    <x v="2"/>
    <n v="938.5"/>
    <x v="2"/>
    <s v="Bireysel"/>
    <x v="0"/>
    <x v="0"/>
  </r>
  <r>
    <n v="124"/>
    <x v="0"/>
    <x v="8"/>
    <x v="0"/>
    <x v="0"/>
    <n v="1479.36"/>
    <x v="0"/>
    <n v="1372.3"/>
    <x v="0"/>
    <s v="Bireysel"/>
    <x v="0"/>
    <x v="0"/>
  </r>
  <r>
    <n v="125"/>
    <x v="8"/>
    <x v="9"/>
    <x v="0"/>
    <x v="0"/>
    <n v="450.41"/>
    <x v="2"/>
    <n v="1108.9000000000001"/>
    <x v="0"/>
    <s v="Bireysel"/>
    <x v="0"/>
    <x v="0"/>
  </r>
  <r>
    <n v="126"/>
    <x v="1"/>
    <x v="1"/>
    <x v="0"/>
    <x v="0"/>
    <n v="1285.51"/>
    <x v="0"/>
    <n v="726.4"/>
    <x v="2"/>
    <s v="Bireysel"/>
    <x v="0"/>
    <x v="0"/>
  </r>
  <r>
    <n v="127"/>
    <x v="1"/>
    <x v="9"/>
    <x v="0"/>
    <x v="0"/>
    <n v="1143.45"/>
    <x v="0"/>
    <n v="899.5"/>
    <x v="2"/>
    <s v="Kurumsal"/>
    <x v="1"/>
    <x v="0"/>
  </r>
  <r>
    <n v="128"/>
    <x v="3"/>
    <x v="8"/>
    <x v="0"/>
    <x v="0"/>
    <n v="1138.3399999999999"/>
    <x v="0"/>
    <n v="1599.2"/>
    <x v="1"/>
    <s v="Bireysel"/>
    <x v="0"/>
    <x v="0"/>
  </r>
  <r>
    <n v="129"/>
    <x v="0"/>
    <x v="1"/>
    <x v="1"/>
    <x v="1"/>
    <n v="132.77000000000001"/>
    <x v="2"/>
    <n v="592.4"/>
    <x v="2"/>
    <s v="Kurumsal"/>
    <x v="1"/>
    <x v="0"/>
  </r>
  <r>
    <n v="130"/>
    <x v="0"/>
    <x v="1"/>
    <x v="1"/>
    <x v="1"/>
    <n v="1099.02"/>
    <x v="0"/>
    <n v="327.39999999999998"/>
    <x v="3"/>
    <s v="Bireysel"/>
    <x v="0"/>
    <x v="0"/>
  </r>
  <r>
    <n v="131"/>
    <x v="1"/>
    <x v="4"/>
    <x v="0"/>
    <x v="0"/>
    <n v="1759.11"/>
    <x v="3"/>
    <n v="660.7"/>
    <x v="2"/>
    <s v="Kurumsal"/>
    <x v="1"/>
    <x v="0"/>
  </r>
  <r>
    <n v="132"/>
    <x v="0"/>
    <x v="2"/>
    <x v="0"/>
    <x v="0"/>
    <n v="1352.78"/>
    <x v="0"/>
    <n v="1706.6"/>
    <x v="1"/>
    <s v="Bireysel"/>
    <x v="0"/>
    <x v="0"/>
  </r>
  <r>
    <n v="133"/>
    <x v="5"/>
    <x v="3"/>
    <x v="0"/>
    <x v="0"/>
    <n v="1096.19"/>
    <x v="0"/>
    <n v="223.5"/>
    <x v="3"/>
    <s v="Bireysel"/>
    <x v="0"/>
    <x v="0"/>
  </r>
  <r>
    <n v="134"/>
    <x v="6"/>
    <x v="4"/>
    <x v="0"/>
    <x v="0"/>
    <n v="1660.38"/>
    <x v="3"/>
    <n v="1983.8"/>
    <x v="1"/>
    <s v="Bireysel"/>
    <x v="0"/>
    <x v="0"/>
  </r>
  <r>
    <n v="135"/>
    <x v="7"/>
    <x v="3"/>
    <x v="1"/>
    <x v="1"/>
    <n v="1214.26"/>
    <x v="0"/>
    <n v="1105"/>
    <x v="0"/>
    <s v="Bireysel"/>
    <x v="0"/>
    <x v="0"/>
  </r>
  <r>
    <n v="136"/>
    <x v="4"/>
    <x v="7"/>
    <x v="0"/>
    <x v="0"/>
    <n v="585.83000000000004"/>
    <x v="1"/>
    <n v="1970.4"/>
    <x v="1"/>
    <s v="Bireysel"/>
    <x v="0"/>
    <x v="0"/>
  </r>
  <r>
    <n v="137"/>
    <x v="9"/>
    <x v="9"/>
    <x v="0"/>
    <x v="0"/>
    <n v="418.15"/>
    <x v="2"/>
    <n v="1881"/>
    <x v="1"/>
    <s v="Kurumsal"/>
    <x v="1"/>
    <x v="0"/>
  </r>
  <r>
    <n v="138"/>
    <x v="3"/>
    <x v="7"/>
    <x v="1"/>
    <x v="1"/>
    <n v="308.89"/>
    <x v="2"/>
    <n v="933"/>
    <x v="2"/>
    <s v="Bireysel"/>
    <x v="0"/>
    <x v="0"/>
  </r>
  <r>
    <n v="139"/>
    <x v="6"/>
    <x v="4"/>
    <x v="1"/>
    <x v="1"/>
    <n v="1799.41"/>
    <x v="3"/>
    <n v="437.1"/>
    <x v="3"/>
    <s v="Bireysel"/>
    <x v="0"/>
    <x v="0"/>
  </r>
  <r>
    <n v="140"/>
    <x v="1"/>
    <x v="7"/>
    <x v="1"/>
    <x v="1"/>
    <n v="1421.72"/>
    <x v="0"/>
    <n v="371.5"/>
    <x v="3"/>
    <s v="Bireysel"/>
    <x v="0"/>
    <x v="0"/>
  </r>
  <r>
    <n v="141"/>
    <x v="4"/>
    <x v="0"/>
    <x v="0"/>
    <x v="0"/>
    <n v="1875.07"/>
    <x v="3"/>
    <n v="518"/>
    <x v="2"/>
    <s v="Bireysel"/>
    <x v="0"/>
    <x v="0"/>
  </r>
  <r>
    <n v="142"/>
    <x v="0"/>
    <x v="6"/>
    <x v="0"/>
    <x v="0"/>
    <n v="1208.57"/>
    <x v="0"/>
    <n v="1434.8"/>
    <x v="0"/>
    <s v="Kurumsal"/>
    <x v="1"/>
    <x v="0"/>
  </r>
  <r>
    <n v="143"/>
    <x v="9"/>
    <x v="3"/>
    <x v="0"/>
    <x v="0"/>
    <n v="949.43"/>
    <x v="1"/>
    <n v="582.29999999999995"/>
    <x v="2"/>
    <s v="Kurumsal"/>
    <x v="1"/>
    <x v="0"/>
  </r>
  <r>
    <n v="144"/>
    <x v="0"/>
    <x v="8"/>
    <x v="0"/>
    <x v="0"/>
    <n v="124.13"/>
    <x v="2"/>
    <n v="715.8"/>
    <x v="2"/>
    <s v="Kurumsal"/>
    <x v="1"/>
    <x v="0"/>
  </r>
  <r>
    <n v="145"/>
    <x v="8"/>
    <x v="8"/>
    <x v="1"/>
    <x v="1"/>
    <n v="1344.93"/>
    <x v="0"/>
    <n v="925.1"/>
    <x v="2"/>
    <s v="Kurumsal"/>
    <x v="1"/>
    <x v="0"/>
  </r>
  <r>
    <n v="146"/>
    <x v="8"/>
    <x v="2"/>
    <x v="1"/>
    <x v="1"/>
    <n v="1166.51"/>
    <x v="0"/>
    <n v="1830.8"/>
    <x v="1"/>
    <s v="Kurumsal"/>
    <x v="1"/>
    <x v="0"/>
  </r>
  <r>
    <n v="147"/>
    <x v="9"/>
    <x v="9"/>
    <x v="1"/>
    <x v="1"/>
    <n v="1980.47"/>
    <x v="3"/>
    <n v="419.3"/>
    <x v="3"/>
    <s v="Bireysel"/>
    <x v="0"/>
    <x v="0"/>
  </r>
  <r>
    <n v="148"/>
    <x v="9"/>
    <x v="9"/>
    <x v="1"/>
    <x v="1"/>
    <n v="482.12"/>
    <x v="2"/>
    <n v="59.8"/>
    <x v="3"/>
    <s v="Kurumsal"/>
    <x v="1"/>
    <x v="0"/>
  </r>
  <r>
    <n v="149"/>
    <x v="1"/>
    <x v="0"/>
    <x v="0"/>
    <x v="0"/>
    <n v="1063.82"/>
    <x v="0"/>
    <n v="167.2"/>
    <x v="3"/>
    <s v="Bireysel"/>
    <x v="0"/>
    <x v="0"/>
  </r>
  <r>
    <n v="150"/>
    <x v="9"/>
    <x v="3"/>
    <x v="1"/>
    <x v="1"/>
    <n v="1303.6600000000001"/>
    <x v="0"/>
    <n v="1814.3"/>
    <x v="1"/>
    <s v="Bireysel"/>
    <x v="0"/>
    <x v="0"/>
  </r>
  <r>
    <n v="151"/>
    <x v="5"/>
    <x v="2"/>
    <x v="0"/>
    <x v="0"/>
    <n v="1290.96"/>
    <x v="0"/>
    <n v="1312.7"/>
    <x v="0"/>
    <s v="Bireysel"/>
    <x v="0"/>
    <x v="0"/>
  </r>
  <r>
    <n v="152"/>
    <x v="0"/>
    <x v="4"/>
    <x v="0"/>
    <x v="0"/>
    <n v="1124.78"/>
    <x v="0"/>
    <n v="582.4"/>
    <x v="2"/>
    <s v="Kurumsal"/>
    <x v="1"/>
    <x v="0"/>
  </r>
  <r>
    <n v="153"/>
    <x v="6"/>
    <x v="9"/>
    <x v="0"/>
    <x v="0"/>
    <n v="1554.97"/>
    <x v="3"/>
    <n v="395.5"/>
    <x v="3"/>
    <s v="Kurumsal"/>
    <x v="1"/>
    <x v="0"/>
  </r>
  <r>
    <n v="154"/>
    <x v="2"/>
    <x v="8"/>
    <x v="0"/>
    <x v="0"/>
    <n v="413.94"/>
    <x v="2"/>
    <n v="623.79999999999995"/>
    <x v="2"/>
    <s v="Bireysel"/>
    <x v="0"/>
    <x v="0"/>
  </r>
  <r>
    <n v="155"/>
    <x v="9"/>
    <x v="7"/>
    <x v="0"/>
    <x v="0"/>
    <n v="1452.63"/>
    <x v="0"/>
    <n v="273.89999999999998"/>
    <x v="3"/>
    <s v="Kurumsal"/>
    <x v="1"/>
    <x v="0"/>
  </r>
  <r>
    <n v="156"/>
    <x v="3"/>
    <x v="7"/>
    <x v="2"/>
    <x v="2"/>
    <n v="1241.3699999999999"/>
    <x v="0"/>
    <n v="1886"/>
    <x v="1"/>
    <s v="Kurumsal"/>
    <x v="1"/>
    <x v="0"/>
  </r>
  <r>
    <n v="157"/>
    <x v="8"/>
    <x v="2"/>
    <x v="0"/>
    <x v="0"/>
    <n v="1792.67"/>
    <x v="3"/>
    <n v="1579.2"/>
    <x v="1"/>
    <s v="Bireysel"/>
    <x v="0"/>
    <x v="0"/>
  </r>
  <r>
    <n v="158"/>
    <x v="5"/>
    <x v="3"/>
    <x v="0"/>
    <x v="0"/>
    <n v="1695.15"/>
    <x v="3"/>
    <n v="951.7"/>
    <x v="2"/>
    <s v="Bireysel"/>
    <x v="0"/>
    <x v="0"/>
  </r>
  <r>
    <n v="159"/>
    <x v="4"/>
    <x v="3"/>
    <x v="0"/>
    <x v="0"/>
    <n v="633.72"/>
    <x v="1"/>
    <n v="1736.7"/>
    <x v="1"/>
    <s v="Kurumsal"/>
    <x v="1"/>
    <x v="0"/>
  </r>
  <r>
    <n v="160"/>
    <x v="2"/>
    <x v="6"/>
    <x v="1"/>
    <x v="1"/>
    <n v="556.09"/>
    <x v="1"/>
    <n v="536.4"/>
    <x v="2"/>
    <s v="Bireysel"/>
    <x v="0"/>
    <x v="0"/>
  </r>
  <r>
    <n v="161"/>
    <x v="6"/>
    <x v="5"/>
    <x v="0"/>
    <x v="0"/>
    <n v="196.34"/>
    <x v="2"/>
    <n v="1448.4"/>
    <x v="0"/>
    <s v="Bireysel"/>
    <x v="0"/>
    <x v="0"/>
  </r>
  <r>
    <n v="162"/>
    <x v="2"/>
    <x v="9"/>
    <x v="1"/>
    <x v="1"/>
    <n v="1056.8900000000001"/>
    <x v="0"/>
    <n v="1719.5"/>
    <x v="1"/>
    <s v="Bireysel"/>
    <x v="0"/>
    <x v="0"/>
  </r>
  <r>
    <n v="163"/>
    <x v="9"/>
    <x v="3"/>
    <x v="0"/>
    <x v="0"/>
    <n v="1813.31"/>
    <x v="3"/>
    <n v="745.7"/>
    <x v="2"/>
    <s v="Bireysel"/>
    <x v="0"/>
    <x v="0"/>
  </r>
  <r>
    <n v="164"/>
    <x v="1"/>
    <x v="8"/>
    <x v="1"/>
    <x v="1"/>
    <n v="331.94"/>
    <x v="2"/>
    <n v="1527.1"/>
    <x v="1"/>
    <s v="Kurumsal"/>
    <x v="1"/>
    <x v="1"/>
  </r>
  <r>
    <n v="165"/>
    <x v="8"/>
    <x v="2"/>
    <x v="0"/>
    <x v="0"/>
    <n v="1287.42"/>
    <x v="0"/>
    <n v="625.4"/>
    <x v="2"/>
    <s v="Bireysel"/>
    <x v="0"/>
    <x v="0"/>
  </r>
  <r>
    <n v="166"/>
    <x v="8"/>
    <x v="4"/>
    <x v="1"/>
    <x v="1"/>
    <n v="1620.67"/>
    <x v="3"/>
    <n v="632.79999999999995"/>
    <x v="2"/>
    <s v="Kurumsal"/>
    <x v="1"/>
    <x v="0"/>
  </r>
  <r>
    <n v="167"/>
    <x v="4"/>
    <x v="6"/>
    <x v="1"/>
    <x v="1"/>
    <n v="1895.05"/>
    <x v="3"/>
    <n v="258.8"/>
    <x v="3"/>
    <s v="Kurumsal"/>
    <x v="1"/>
    <x v="1"/>
  </r>
  <r>
    <n v="168"/>
    <x v="1"/>
    <x v="1"/>
    <x v="0"/>
    <x v="0"/>
    <n v="677.99"/>
    <x v="1"/>
    <n v="908.1"/>
    <x v="2"/>
    <s v="Kurumsal"/>
    <x v="1"/>
    <x v="0"/>
  </r>
  <r>
    <n v="169"/>
    <x v="0"/>
    <x v="0"/>
    <x v="0"/>
    <x v="0"/>
    <n v="1451.34"/>
    <x v="0"/>
    <n v="1472.9"/>
    <x v="0"/>
    <s v="Bireysel"/>
    <x v="0"/>
    <x v="0"/>
  </r>
  <r>
    <n v="170"/>
    <x v="7"/>
    <x v="4"/>
    <x v="0"/>
    <x v="0"/>
    <n v="1079.93"/>
    <x v="0"/>
    <n v="1883.4"/>
    <x v="1"/>
    <s v="Bireysel"/>
    <x v="0"/>
    <x v="0"/>
  </r>
  <r>
    <n v="171"/>
    <x v="5"/>
    <x v="1"/>
    <x v="0"/>
    <x v="0"/>
    <n v="125.95"/>
    <x v="2"/>
    <n v="1227.4000000000001"/>
    <x v="0"/>
    <s v="Bireysel"/>
    <x v="0"/>
    <x v="0"/>
  </r>
  <r>
    <n v="172"/>
    <x v="8"/>
    <x v="7"/>
    <x v="0"/>
    <x v="0"/>
    <n v="1381.55"/>
    <x v="0"/>
    <n v="1733.1"/>
    <x v="1"/>
    <s v="Bireysel"/>
    <x v="0"/>
    <x v="0"/>
  </r>
  <r>
    <n v="173"/>
    <x v="3"/>
    <x v="0"/>
    <x v="1"/>
    <x v="1"/>
    <n v="1381.74"/>
    <x v="0"/>
    <n v="1653.9"/>
    <x v="1"/>
    <s v="Kurumsal"/>
    <x v="1"/>
    <x v="0"/>
  </r>
  <r>
    <n v="174"/>
    <x v="8"/>
    <x v="9"/>
    <x v="0"/>
    <x v="0"/>
    <n v="1861.56"/>
    <x v="3"/>
    <n v="388"/>
    <x v="3"/>
    <s v="Bireysel"/>
    <x v="0"/>
    <x v="0"/>
  </r>
  <r>
    <n v="175"/>
    <x v="2"/>
    <x v="8"/>
    <x v="0"/>
    <x v="0"/>
    <n v="997.14"/>
    <x v="1"/>
    <n v="997.3"/>
    <x v="2"/>
    <s v="Bireysel"/>
    <x v="0"/>
    <x v="0"/>
  </r>
  <r>
    <n v="176"/>
    <x v="8"/>
    <x v="2"/>
    <x v="0"/>
    <x v="0"/>
    <n v="464.35"/>
    <x v="2"/>
    <n v="278"/>
    <x v="3"/>
    <s v="Bireysel"/>
    <x v="0"/>
    <x v="1"/>
  </r>
  <r>
    <n v="177"/>
    <x v="8"/>
    <x v="5"/>
    <x v="0"/>
    <x v="0"/>
    <n v="9.39"/>
    <x v="2"/>
    <n v="1380.2"/>
    <x v="0"/>
    <s v="Kurumsal"/>
    <x v="1"/>
    <x v="1"/>
  </r>
  <r>
    <n v="178"/>
    <x v="7"/>
    <x v="1"/>
    <x v="1"/>
    <x v="1"/>
    <n v="834.21"/>
    <x v="1"/>
    <n v="1902.3"/>
    <x v="1"/>
    <s v="Kurumsal"/>
    <x v="1"/>
    <x v="0"/>
  </r>
  <r>
    <n v="179"/>
    <x v="7"/>
    <x v="1"/>
    <x v="0"/>
    <x v="0"/>
    <n v="607.32000000000005"/>
    <x v="1"/>
    <n v="317.3"/>
    <x v="3"/>
    <s v="Bireysel"/>
    <x v="0"/>
    <x v="0"/>
  </r>
  <r>
    <n v="180"/>
    <x v="6"/>
    <x v="5"/>
    <x v="1"/>
    <x v="1"/>
    <n v="1523.37"/>
    <x v="3"/>
    <n v="1481.1"/>
    <x v="0"/>
    <s v="Kurumsal"/>
    <x v="1"/>
    <x v="0"/>
  </r>
  <r>
    <n v="181"/>
    <x v="0"/>
    <x v="1"/>
    <x v="1"/>
    <x v="1"/>
    <n v="711.76"/>
    <x v="1"/>
    <n v="1282.9000000000001"/>
    <x v="0"/>
    <s v="Bireysel"/>
    <x v="0"/>
    <x v="1"/>
  </r>
  <r>
    <n v="182"/>
    <x v="3"/>
    <x v="5"/>
    <x v="1"/>
    <x v="1"/>
    <n v="189.84"/>
    <x v="2"/>
    <n v="1188"/>
    <x v="0"/>
    <s v="Bireysel"/>
    <x v="0"/>
    <x v="0"/>
  </r>
  <r>
    <n v="183"/>
    <x v="8"/>
    <x v="6"/>
    <x v="1"/>
    <x v="1"/>
    <n v="1924.81"/>
    <x v="3"/>
    <n v="810.7"/>
    <x v="2"/>
    <s v="Kurumsal"/>
    <x v="1"/>
    <x v="0"/>
  </r>
  <r>
    <n v="184"/>
    <x v="8"/>
    <x v="6"/>
    <x v="0"/>
    <x v="0"/>
    <n v="1243.71"/>
    <x v="0"/>
    <n v="742.5"/>
    <x v="2"/>
    <s v="Bireysel"/>
    <x v="0"/>
    <x v="0"/>
  </r>
  <r>
    <n v="185"/>
    <x v="5"/>
    <x v="2"/>
    <x v="2"/>
    <x v="2"/>
    <n v="1857.68"/>
    <x v="3"/>
    <n v="138.19999999999999"/>
    <x v="3"/>
    <s v="Kurumsal"/>
    <x v="1"/>
    <x v="0"/>
  </r>
  <r>
    <n v="186"/>
    <x v="7"/>
    <x v="4"/>
    <x v="0"/>
    <x v="0"/>
    <n v="152.29"/>
    <x v="2"/>
    <n v="474.9"/>
    <x v="3"/>
    <s v="Bireysel"/>
    <x v="0"/>
    <x v="0"/>
  </r>
  <r>
    <n v="187"/>
    <x v="3"/>
    <x v="4"/>
    <x v="0"/>
    <x v="0"/>
    <n v="1095.98"/>
    <x v="0"/>
    <n v="79.599999999999994"/>
    <x v="3"/>
    <s v="Bireysel"/>
    <x v="0"/>
    <x v="0"/>
  </r>
  <r>
    <n v="188"/>
    <x v="4"/>
    <x v="9"/>
    <x v="1"/>
    <x v="1"/>
    <n v="364.71"/>
    <x v="2"/>
    <n v="1183.8"/>
    <x v="0"/>
    <s v="Kurumsal"/>
    <x v="1"/>
    <x v="0"/>
  </r>
  <r>
    <n v="189"/>
    <x v="6"/>
    <x v="7"/>
    <x v="2"/>
    <x v="2"/>
    <n v="91.99"/>
    <x v="2"/>
    <n v="256.39999999999998"/>
    <x v="3"/>
    <s v="Bireysel"/>
    <x v="0"/>
    <x v="0"/>
  </r>
  <r>
    <n v="190"/>
    <x v="0"/>
    <x v="3"/>
    <x v="1"/>
    <x v="1"/>
    <n v="1123.94"/>
    <x v="0"/>
    <n v="1752.4"/>
    <x v="1"/>
    <s v="Kurumsal"/>
    <x v="1"/>
    <x v="0"/>
  </r>
  <r>
    <n v="191"/>
    <x v="1"/>
    <x v="6"/>
    <x v="0"/>
    <x v="0"/>
    <n v="172.86"/>
    <x v="2"/>
    <n v="1070.0999999999999"/>
    <x v="0"/>
    <s v="Kurumsal"/>
    <x v="1"/>
    <x v="0"/>
  </r>
  <r>
    <n v="192"/>
    <x v="0"/>
    <x v="9"/>
    <x v="0"/>
    <x v="0"/>
    <n v="965.26"/>
    <x v="1"/>
    <n v="1414.4"/>
    <x v="0"/>
    <s v="Bireysel"/>
    <x v="0"/>
    <x v="1"/>
  </r>
  <r>
    <n v="193"/>
    <x v="2"/>
    <x v="3"/>
    <x v="2"/>
    <x v="2"/>
    <n v="1795.86"/>
    <x v="3"/>
    <n v="851.2"/>
    <x v="2"/>
    <s v="Bireysel"/>
    <x v="0"/>
    <x v="1"/>
  </r>
  <r>
    <n v="194"/>
    <x v="8"/>
    <x v="4"/>
    <x v="0"/>
    <x v="0"/>
    <n v="1350.33"/>
    <x v="0"/>
    <n v="1143.0999999999999"/>
    <x v="0"/>
    <s v="Bireysel"/>
    <x v="0"/>
    <x v="1"/>
  </r>
  <r>
    <n v="195"/>
    <x v="6"/>
    <x v="2"/>
    <x v="1"/>
    <x v="1"/>
    <n v="278.31"/>
    <x v="2"/>
    <n v="1888.2"/>
    <x v="1"/>
    <s v="Bireysel"/>
    <x v="0"/>
    <x v="1"/>
  </r>
  <r>
    <n v="196"/>
    <x v="2"/>
    <x v="5"/>
    <x v="1"/>
    <x v="1"/>
    <n v="1989.99"/>
    <x v="3"/>
    <n v="211.3"/>
    <x v="3"/>
    <s v="Bireysel"/>
    <x v="0"/>
    <x v="0"/>
  </r>
  <r>
    <n v="197"/>
    <x v="3"/>
    <x v="6"/>
    <x v="0"/>
    <x v="0"/>
    <n v="1056.83"/>
    <x v="0"/>
    <n v="545.20000000000005"/>
    <x v="2"/>
    <s v="Bireysel"/>
    <x v="0"/>
    <x v="0"/>
  </r>
  <r>
    <n v="198"/>
    <x v="1"/>
    <x v="9"/>
    <x v="0"/>
    <x v="0"/>
    <n v="786.76"/>
    <x v="1"/>
    <n v="1571"/>
    <x v="1"/>
    <s v="Bireysel"/>
    <x v="0"/>
    <x v="0"/>
  </r>
  <r>
    <n v="199"/>
    <x v="7"/>
    <x v="0"/>
    <x v="0"/>
    <x v="0"/>
    <n v="1319.93"/>
    <x v="0"/>
    <n v="242.5"/>
    <x v="3"/>
    <s v="Bireysel"/>
    <x v="0"/>
    <x v="1"/>
  </r>
  <r>
    <n v="200"/>
    <x v="6"/>
    <x v="3"/>
    <x v="0"/>
    <x v="0"/>
    <n v="222.24"/>
    <x v="2"/>
    <n v="197.5"/>
    <x v="3"/>
    <s v="Kurumsal"/>
    <x v="1"/>
    <x v="0"/>
  </r>
  <r>
    <n v="201"/>
    <x v="6"/>
    <x v="5"/>
    <x v="1"/>
    <x v="1"/>
    <n v="1274.8900000000001"/>
    <x v="0"/>
    <n v="755"/>
    <x v="2"/>
    <s v="Kurumsal"/>
    <x v="1"/>
    <x v="0"/>
  </r>
  <r>
    <n v="202"/>
    <x v="8"/>
    <x v="6"/>
    <x v="0"/>
    <x v="0"/>
    <n v="998.98"/>
    <x v="1"/>
    <n v="229.7"/>
    <x v="3"/>
    <s v="Kurumsal"/>
    <x v="1"/>
    <x v="0"/>
  </r>
  <r>
    <n v="203"/>
    <x v="9"/>
    <x v="4"/>
    <x v="1"/>
    <x v="1"/>
    <n v="816.31"/>
    <x v="1"/>
    <n v="1190.9000000000001"/>
    <x v="0"/>
    <s v="Bireysel"/>
    <x v="0"/>
    <x v="0"/>
  </r>
  <r>
    <n v="204"/>
    <x v="6"/>
    <x v="7"/>
    <x v="0"/>
    <x v="0"/>
    <n v="1906.27"/>
    <x v="3"/>
    <n v="491.2"/>
    <x v="3"/>
    <s v="Kurumsal"/>
    <x v="1"/>
    <x v="0"/>
  </r>
  <r>
    <n v="205"/>
    <x v="5"/>
    <x v="3"/>
    <x v="2"/>
    <x v="2"/>
    <n v="1047.47"/>
    <x v="0"/>
    <n v="1796.6"/>
    <x v="1"/>
    <s v="Bireysel"/>
    <x v="0"/>
    <x v="0"/>
  </r>
  <r>
    <n v="206"/>
    <x v="1"/>
    <x v="4"/>
    <x v="0"/>
    <x v="0"/>
    <n v="442.14"/>
    <x v="2"/>
    <n v="1577.8"/>
    <x v="1"/>
    <s v="Kurumsal"/>
    <x v="1"/>
    <x v="0"/>
  </r>
  <r>
    <n v="207"/>
    <x v="1"/>
    <x v="6"/>
    <x v="0"/>
    <x v="0"/>
    <n v="920.63"/>
    <x v="1"/>
    <n v="1414.4"/>
    <x v="0"/>
    <s v="Kurumsal"/>
    <x v="1"/>
    <x v="0"/>
  </r>
  <r>
    <n v="208"/>
    <x v="5"/>
    <x v="3"/>
    <x v="0"/>
    <x v="0"/>
    <n v="1839.18"/>
    <x v="3"/>
    <n v="1253"/>
    <x v="0"/>
    <s v="Bireysel"/>
    <x v="0"/>
    <x v="0"/>
  </r>
  <r>
    <n v="209"/>
    <x v="4"/>
    <x v="5"/>
    <x v="1"/>
    <x v="1"/>
    <n v="356.31"/>
    <x v="2"/>
    <n v="1733.8"/>
    <x v="1"/>
    <s v="Bireysel"/>
    <x v="0"/>
    <x v="0"/>
  </r>
  <r>
    <n v="210"/>
    <x v="5"/>
    <x v="6"/>
    <x v="1"/>
    <x v="1"/>
    <n v="431.84"/>
    <x v="2"/>
    <n v="485"/>
    <x v="3"/>
    <s v="Kurumsal"/>
    <x v="1"/>
    <x v="1"/>
  </r>
  <r>
    <n v="211"/>
    <x v="5"/>
    <x v="1"/>
    <x v="1"/>
    <x v="1"/>
    <n v="30.99"/>
    <x v="2"/>
    <n v="1752.6"/>
    <x v="1"/>
    <s v="Kurumsal"/>
    <x v="1"/>
    <x v="0"/>
  </r>
  <r>
    <n v="212"/>
    <x v="1"/>
    <x v="9"/>
    <x v="0"/>
    <x v="0"/>
    <n v="33.31"/>
    <x v="2"/>
    <n v="1589.5"/>
    <x v="1"/>
    <s v="Kurumsal"/>
    <x v="1"/>
    <x v="0"/>
  </r>
  <r>
    <n v="213"/>
    <x v="0"/>
    <x v="5"/>
    <x v="0"/>
    <x v="0"/>
    <n v="1659.64"/>
    <x v="3"/>
    <n v="1508.9"/>
    <x v="1"/>
    <s v="Bireysel"/>
    <x v="0"/>
    <x v="0"/>
  </r>
  <r>
    <n v="214"/>
    <x v="1"/>
    <x v="3"/>
    <x v="0"/>
    <x v="0"/>
    <n v="1465.58"/>
    <x v="0"/>
    <n v="1144.4000000000001"/>
    <x v="0"/>
    <s v="Bireysel"/>
    <x v="0"/>
    <x v="0"/>
  </r>
  <r>
    <n v="215"/>
    <x v="9"/>
    <x v="7"/>
    <x v="0"/>
    <x v="0"/>
    <n v="713.31"/>
    <x v="1"/>
    <n v="530.20000000000005"/>
    <x v="2"/>
    <s v="Bireysel"/>
    <x v="0"/>
    <x v="0"/>
  </r>
  <r>
    <n v="216"/>
    <x v="8"/>
    <x v="4"/>
    <x v="0"/>
    <x v="0"/>
    <n v="1398.13"/>
    <x v="0"/>
    <n v="875.9"/>
    <x v="2"/>
    <s v="Kurumsal"/>
    <x v="1"/>
    <x v="0"/>
  </r>
  <r>
    <n v="217"/>
    <x v="2"/>
    <x v="0"/>
    <x v="2"/>
    <x v="2"/>
    <n v="793.44"/>
    <x v="1"/>
    <n v="1597.5"/>
    <x v="1"/>
    <s v="Bireysel"/>
    <x v="0"/>
    <x v="0"/>
  </r>
  <r>
    <n v="218"/>
    <x v="0"/>
    <x v="4"/>
    <x v="2"/>
    <x v="2"/>
    <n v="1906.03"/>
    <x v="3"/>
    <n v="112"/>
    <x v="3"/>
    <s v="Kurumsal"/>
    <x v="1"/>
    <x v="0"/>
  </r>
  <r>
    <n v="219"/>
    <x v="7"/>
    <x v="3"/>
    <x v="2"/>
    <x v="2"/>
    <n v="1934.27"/>
    <x v="3"/>
    <n v="1575"/>
    <x v="1"/>
    <s v="Bireysel"/>
    <x v="0"/>
    <x v="0"/>
  </r>
  <r>
    <n v="220"/>
    <x v="2"/>
    <x v="4"/>
    <x v="1"/>
    <x v="1"/>
    <n v="788.62"/>
    <x v="1"/>
    <n v="518.1"/>
    <x v="2"/>
    <s v="Bireysel"/>
    <x v="0"/>
    <x v="0"/>
  </r>
  <r>
    <n v="221"/>
    <x v="8"/>
    <x v="9"/>
    <x v="0"/>
    <x v="0"/>
    <n v="1709.17"/>
    <x v="3"/>
    <n v="331.4"/>
    <x v="3"/>
    <s v="Bireysel"/>
    <x v="0"/>
    <x v="0"/>
  </r>
  <r>
    <n v="222"/>
    <x v="9"/>
    <x v="6"/>
    <x v="0"/>
    <x v="0"/>
    <n v="1547.31"/>
    <x v="3"/>
    <n v="275.60000000000002"/>
    <x v="3"/>
    <s v="Kurumsal"/>
    <x v="1"/>
    <x v="0"/>
  </r>
  <r>
    <n v="223"/>
    <x v="9"/>
    <x v="0"/>
    <x v="0"/>
    <x v="0"/>
    <n v="623.45000000000005"/>
    <x v="1"/>
    <n v="103.1"/>
    <x v="3"/>
    <s v="Bireysel"/>
    <x v="0"/>
    <x v="0"/>
  </r>
  <r>
    <n v="224"/>
    <x v="7"/>
    <x v="8"/>
    <x v="1"/>
    <x v="1"/>
    <n v="467.92"/>
    <x v="2"/>
    <n v="1071"/>
    <x v="0"/>
    <s v="Bireysel"/>
    <x v="0"/>
    <x v="1"/>
  </r>
  <r>
    <n v="225"/>
    <x v="0"/>
    <x v="3"/>
    <x v="0"/>
    <x v="0"/>
    <n v="919.18"/>
    <x v="1"/>
    <n v="475.6"/>
    <x v="3"/>
    <s v="Bireysel"/>
    <x v="0"/>
    <x v="0"/>
  </r>
  <r>
    <n v="226"/>
    <x v="4"/>
    <x v="2"/>
    <x v="0"/>
    <x v="0"/>
    <n v="1563.79"/>
    <x v="3"/>
    <n v="1979.4"/>
    <x v="1"/>
    <s v="Bireysel"/>
    <x v="0"/>
    <x v="0"/>
  </r>
  <r>
    <n v="227"/>
    <x v="5"/>
    <x v="7"/>
    <x v="0"/>
    <x v="0"/>
    <n v="1920.53"/>
    <x v="3"/>
    <n v="1170.2"/>
    <x v="0"/>
    <s v="Bireysel"/>
    <x v="0"/>
    <x v="0"/>
  </r>
  <r>
    <n v="228"/>
    <x v="0"/>
    <x v="4"/>
    <x v="0"/>
    <x v="0"/>
    <n v="1528.34"/>
    <x v="3"/>
    <n v="318.89999999999998"/>
    <x v="3"/>
    <s v="Kurumsal"/>
    <x v="1"/>
    <x v="0"/>
  </r>
  <r>
    <n v="229"/>
    <x v="4"/>
    <x v="3"/>
    <x v="1"/>
    <x v="1"/>
    <n v="1711.14"/>
    <x v="3"/>
    <n v="1393.1"/>
    <x v="0"/>
    <s v="Bireysel"/>
    <x v="0"/>
    <x v="0"/>
  </r>
  <r>
    <n v="230"/>
    <x v="9"/>
    <x v="1"/>
    <x v="1"/>
    <x v="1"/>
    <n v="1208.1099999999999"/>
    <x v="0"/>
    <n v="1800.6"/>
    <x v="1"/>
    <s v="Bireysel"/>
    <x v="0"/>
    <x v="0"/>
  </r>
  <r>
    <n v="231"/>
    <x v="1"/>
    <x v="4"/>
    <x v="0"/>
    <x v="0"/>
    <n v="1671.64"/>
    <x v="3"/>
    <n v="1503.1"/>
    <x v="1"/>
    <s v="Kurumsal"/>
    <x v="1"/>
    <x v="0"/>
  </r>
  <r>
    <n v="232"/>
    <x v="8"/>
    <x v="5"/>
    <x v="2"/>
    <x v="2"/>
    <n v="1569.92"/>
    <x v="3"/>
    <n v="199.1"/>
    <x v="3"/>
    <s v="Kurumsal"/>
    <x v="1"/>
    <x v="0"/>
  </r>
  <r>
    <n v="233"/>
    <x v="7"/>
    <x v="7"/>
    <x v="1"/>
    <x v="1"/>
    <n v="757.09"/>
    <x v="1"/>
    <n v="1797"/>
    <x v="1"/>
    <s v="Bireysel"/>
    <x v="0"/>
    <x v="0"/>
  </r>
  <r>
    <n v="234"/>
    <x v="8"/>
    <x v="1"/>
    <x v="0"/>
    <x v="0"/>
    <n v="1106.22"/>
    <x v="0"/>
    <n v="1598.2"/>
    <x v="1"/>
    <s v="Bireysel"/>
    <x v="0"/>
    <x v="0"/>
  </r>
  <r>
    <n v="235"/>
    <x v="3"/>
    <x v="8"/>
    <x v="0"/>
    <x v="0"/>
    <n v="1610.48"/>
    <x v="3"/>
    <n v="358.7"/>
    <x v="3"/>
    <s v="Kurumsal"/>
    <x v="1"/>
    <x v="0"/>
  </r>
  <r>
    <n v="236"/>
    <x v="3"/>
    <x v="6"/>
    <x v="0"/>
    <x v="0"/>
    <n v="96.88"/>
    <x v="2"/>
    <n v="151"/>
    <x v="3"/>
    <s v="Kurumsal"/>
    <x v="1"/>
    <x v="0"/>
  </r>
  <r>
    <n v="237"/>
    <x v="0"/>
    <x v="9"/>
    <x v="0"/>
    <x v="0"/>
    <n v="1617.12"/>
    <x v="3"/>
    <n v="1136.8"/>
    <x v="0"/>
    <s v="Kurumsal"/>
    <x v="1"/>
    <x v="1"/>
  </r>
  <r>
    <n v="238"/>
    <x v="9"/>
    <x v="7"/>
    <x v="2"/>
    <x v="2"/>
    <n v="359.89"/>
    <x v="2"/>
    <n v="354.3"/>
    <x v="3"/>
    <s v="Bireysel"/>
    <x v="0"/>
    <x v="0"/>
  </r>
  <r>
    <n v="239"/>
    <x v="9"/>
    <x v="1"/>
    <x v="0"/>
    <x v="0"/>
    <n v="1031.79"/>
    <x v="0"/>
    <n v="1677.5"/>
    <x v="1"/>
    <s v="Bireysel"/>
    <x v="0"/>
    <x v="0"/>
  </r>
  <r>
    <n v="240"/>
    <x v="5"/>
    <x v="6"/>
    <x v="1"/>
    <x v="1"/>
    <n v="1617.51"/>
    <x v="3"/>
    <n v="748.8"/>
    <x v="2"/>
    <s v="Kurumsal"/>
    <x v="1"/>
    <x v="0"/>
  </r>
  <r>
    <n v="241"/>
    <x v="5"/>
    <x v="6"/>
    <x v="0"/>
    <x v="0"/>
    <n v="511.37"/>
    <x v="1"/>
    <n v="1830.1"/>
    <x v="1"/>
    <s v="Bireysel"/>
    <x v="0"/>
    <x v="0"/>
  </r>
  <r>
    <n v="242"/>
    <x v="5"/>
    <x v="3"/>
    <x v="0"/>
    <x v="0"/>
    <n v="495.39"/>
    <x v="2"/>
    <n v="1153.0999999999999"/>
    <x v="0"/>
    <s v="Bireysel"/>
    <x v="0"/>
    <x v="0"/>
  </r>
  <r>
    <n v="243"/>
    <x v="1"/>
    <x v="1"/>
    <x v="0"/>
    <x v="0"/>
    <n v="808.51"/>
    <x v="1"/>
    <n v="406.2"/>
    <x v="3"/>
    <s v="Kurumsal"/>
    <x v="1"/>
    <x v="0"/>
  </r>
  <r>
    <n v="244"/>
    <x v="2"/>
    <x v="0"/>
    <x v="0"/>
    <x v="0"/>
    <n v="1789.81"/>
    <x v="3"/>
    <n v="322.2"/>
    <x v="3"/>
    <s v="Bireysel"/>
    <x v="0"/>
    <x v="0"/>
  </r>
  <r>
    <n v="245"/>
    <x v="6"/>
    <x v="4"/>
    <x v="0"/>
    <x v="0"/>
    <n v="5.88"/>
    <x v="2"/>
    <n v="1174.0999999999999"/>
    <x v="0"/>
    <s v="Bireysel"/>
    <x v="0"/>
    <x v="0"/>
  </r>
  <r>
    <n v="246"/>
    <x v="2"/>
    <x v="2"/>
    <x v="2"/>
    <x v="2"/>
    <n v="1803.26"/>
    <x v="3"/>
    <n v="1535.7"/>
    <x v="1"/>
    <s v="Bireysel"/>
    <x v="0"/>
    <x v="1"/>
  </r>
  <r>
    <n v="247"/>
    <x v="8"/>
    <x v="2"/>
    <x v="0"/>
    <x v="0"/>
    <n v="311.85000000000002"/>
    <x v="2"/>
    <n v="1573.9"/>
    <x v="1"/>
    <s v="Bireysel"/>
    <x v="0"/>
    <x v="0"/>
  </r>
  <r>
    <n v="248"/>
    <x v="2"/>
    <x v="8"/>
    <x v="1"/>
    <x v="1"/>
    <n v="1980.22"/>
    <x v="3"/>
    <n v="587.70000000000005"/>
    <x v="2"/>
    <s v="Bireysel"/>
    <x v="0"/>
    <x v="0"/>
  </r>
  <r>
    <n v="249"/>
    <x v="1"/>
    <x v="8"/>
    <x v="0"/>
    <x v="0"/>
    <n v="1909.92"/>
    <x v="3"/>
    <n v="448.3"/>
    <x v="3"/>
    <s v="Kurumsal"/>
    <x v="1"/>
    <x v="1"/>
  </r>
  <r>
    <n v="250"/>
    <x v="8"/>
    <x v="2"/>
    <x v="0"/>
    <x v="0"/>
    <n v="991.88"/>
    <x v="1"/>
    <n v="82.7"/>
    <x v="3"/>
    <s v="Bireysel"/>
    <x v="0"/>
    <x v="0"/>
  </r>
  <r>
    <n v="251"/>
    <x v="2"/>
    <x v="0"/>
    <x v="0"/>
    <x v="0"/>
    <n v="1027.8800000000001"/>
    <x v="0"/>
    <n v="1374.4"/>
    <x v="0"/>
    <s v="Bireysel"/>
    <x v="0"/>
    <x v="0"/>
  </r>
  <r>
    <n v="252"/>
    <x v="1"/>
    <x v="9"/>
    <x v="0"/>
    <x v="0"/>
    <n v="965.69"/>
    <x v="1"/>
    <n v="199.3"/>
    <x v="3"/>
    <s v="Kurumsal"/>
    <x v="1"/>
    <x v="0"/>
  </r>
  <r>
    <n v="253"/>
    <x v="6"/>
    <x v="5"/>
    <x v="0"/>
    <x v="0"/>
    <n v="1272.71"/>
    <x v="0"/>
    <n v="870.5"/>
    <x v="2"/>
    <s v="Bireysel"/>
    <x v="0"/>
    <x v="1"/>
  </r>
  <r>
    <n v="254"/>
    <x v="2"/>
    <x v="4"/>
    <x v="0"/>
    <x v="0"/>
    <n v="185.99"/>
    <x v="2"/>
    <n v="1223.3"/>
    <x v="0"/>
    <s v="Bireysel"/>
    <x v="0"/>
    <x v="0"/>
  </r>
  <r>
    <n v="255"/>
    <x v="1"/>
    <x v="9"/>
    <x v="0"/>
    <x v="0"/>
    <n v="70.069999999999993"/>
    <x v="2"/>
    <n v="1877.4"/>
    <x v="1"/>
    <s v="Kurumsal"/>
    <x v="1"/>
    <x v="0"/>
  </r>
  <r>
    <n v="256"/>
    <x v="5"/>
    <x v="3"/>
    <x v="0"/>
    <x v="0"/>
    <n v="120.12"/>
    <x v="2"/>
    <n v="658"/>
    <x v="2"/>
    <s v="Kurumsal"/>
    <x v="1"/>
    <x v="0"/>
  </r>
  <r>
    <n v="257"/>
    <x v="9"/>
    <x v="3"/>
    <x v="0"/>
    <x v="0"/>
    <n v="891.51"/>
    <x v="1"/>
    <n v="537.1"/>
    <x v="2"/>
    <s v="Bireysel"/>
    <x v="0"/>
    <x v="0"/>
  </r>
  <r>
    <n v="258"/>
    <x v="5"/>
    <x v="5"/>
    <x v="0"/>
    <x v="0"/>
    <n v="554.72"/>
    <x v="1"/>
    <n v="1325.6"/>
    <x v="0"/>
    <s v="Kurumsal"/>
    <x v="1"/>
    <x v="0"/>
  </r>
  <r>
    <n v="259"/>
    <x v="9"/>
    <x v="1"/>
    <x v="2"/>
    <x v="2"/>
    <n v="1245.97"/>
    <x v="0"/>
    <n v="1257.5"/>
    <x v="0"/>
    <s v="Bireysel"/>
    <x v="0"/>
    <x v="0"/>
  </r>
  <r>
    <n v="260"/>
    <x v="7"/>
    <x v="0"/>
    <x v="1"/>
    <x v="1"/>
    <n v="1984.92"/>
    <x v="3"/>
    <n v="697.6"/>
    <x v="2"/>
    <s v="Kurumsal"/>
    <x v="1"/>
    <x v="0"/>
  </r>
  <r>
    <n v="261"/>
    <x v="7"/>
    <x v="0"/>
    <x v="0"/>
    <x v="0"/>
    <n v="775.71"/>
    <x v="1"/>
    <n v="1859.8"/>
    <x v="1"/>
    <s v="Bireysel"/>
    <x v="0"/>
    <x v="0"/>
  </r>
  <r>
    <n v="262"/>
    <x v="7"/>
    <x v="5"/>
    <x v="0"/>
    <x v="0"/>
    <n v="1149.81"/>
    <x v="0"/>
    <n v="1697.5"/>
    <x v="1"/>
    <s v="Kurumsal"/>
    <x v="1"/>
    <x v="0"/>
  </r>
  <r>
    <n v="263"/>
    <x v="6"/>
    <x v="1"/>
    <x v="2"/>
    <x v="2"/>
    <n v="834.13"/>
    <x v="1"/>
    <n v="486.8"/>
    <x v="3"/>
    <s v="Bireysel"/>
    <x v="0"/>
    <x v="1"/>
  </r>
  <r>
    <n v="264"/>
    <x v="5"/>
    <x v="4"/>
    <x v="1"/>
    <x v="1"/>
    <n v="1695.31"/>
    <x v="3"/>
    <n v="516.29999999999995"/>
    <x v="2"/>
    <s v="Bireysel"/>
    <x v="0"/>
    <x v="1"/>
  </r>
  <r>
    <n v="265"/>
    <x v="9"/>
    <x v="6"/>
    <x v="0"/>
    <x v="0"/>
    <n v="1804.96"/>
    <x v="3"/>
    <n v="1049"/>
    <x v="0"/>
    <s v="Bireysel"/>
    <x v="0"/>
    <x v="0"/>
  </r>
  <r>
    <n v="266"/>
    <x v="1"/>
    <x v="7"/>
    <x v="1"/>
    <x v="1"/>
    <n v="1755.32"/>
    <x v="3"/>
    <n v="1558.5"/>
    <x v="1"/>
    <s v="Bireysel"/>
    <x v="0"/>
    <x v="0"/>
  </r>
  <r>
    <n v="267"/>
    <x v="8"/>
    <x v="8"/>
    <x v="0"/>
    <x v="0"/>
    <n v="1948.87"/>
    <x v="3"/>
    <n v="135.9"/>
    <x v="3"/>
    <s v="Kurumsal"/>
    <x v="1"/>
    <x v="0"/>
  </r>
  <r>
    <n v="268"/>
    <x v="1"/>
    <x v="8"/>
    <x v="0"/>
    <x v="0"/>
    <n v="5.99"/>
    <x v="2"/>
    <n v="1402"/>
    <x v="0"/>
    <s v="Bireysel"/>
    <x v="0"/>
    <x v="0"/>
  </r>
  <r>
    <n v="269"/>
    <x v="8"/>
    <x v="9"/>
    <x v="1"/>
    <x v="1"/>
    <n v="1680.43"/>
    <x v="3"/>
    <n v="1314.1"/>
    <x v="0"/>
    <s v="Bireysel"/>
    <x v="0"/>
    <x v="0"/>
  </r>
  <r>
    <n v="270"/>
    <x v="3"/>
    <x v="0"/>
    <x v="0"/>
    <x v="0"/>
    <n v="1504.79"/>
    <x v="3"/>
    <n v="501.4"/>
    <x v="2"/>
    <s v="Bireysel"/>
    <x v="0"/>
    <x v="0"/>
  </r>
  <r>
    <n v="271"/>
    <x v="1"/>
    <x v="8"/>
    <x v="2"/>
    <x v="2"/>
    <n v="461.25"/>
    <x v="2"/>
    <n v="1378.6"/>
    <x v="0"/>
    <s v="Bireysel"/>
    <x v="0"/>
    <x v="1"/>
  </r>
  <r>
    <n v="272"/>
    <x v="2"/>
    <x v="6"/>
    <x v="1"/>
    <x v="1"/>
    <n v="1912.86"/>
    <x v="3"/>
    <n v="1883.4"/>
    <x v="1"/>
    <s v="Kurumsal"/>
    <x v="1"/>
    <x v="0"/>
  </r>
  <r>
    <n v="273"/>
    <x v="2"/>
    <x v="9"/>
    <x v="0"/>
    <x v="0"/>
    <n v="300.61"/>
    <x v="2"/>
    <n v="141.19999999999999"/>
    <x v="3"/>
    <s v="Kurumsal"/>
    <x v="1"/>
    <x v="0"/>
  </r>
  <r>
    <n v="274"/>
    <x v="0"/>
    <x v="8"/>
    <x v="0"/>
    <x v="0"/>
    <n v="136.07"/>
    <x v="2"/>
    <n v="673.3"/>
    <x v="2"/>
    <s v="Bireysel"/>
    <x v="0"/>
    <x v="0"/>
  </r>
  <r>
    <n v="275"/>
    <x v="5"/>
    <x v="3"/>
    <x v="0"/>
    <x v="0"/>
    <n v="453.66"/>
    <x v="2"/>
    <n v="904.4"/>
    <x v="2"/>
    <s v="Kurumsal"/>
    <x v="1"/>
    <x v="0"/>
  </r>
  <r>
    <n v="276"/>
    <x v="8"/>
    <x v="6"/>
    <x v="0"/>
    <x v="0"/>
    <n v="86.56"/>
    <x v="2"/>
    <n v="1803.6"/>
    <x v="1"/>
    <s v="Kurumsal"/>
    <x v="1"/>
    <x v="0"/>
  </r>
  <r>
    <n v="277"/>
    <x v="8"/>
    <x v="9"/>
    <x v="1"/>
    <x v="1"/>
    <n v="1439.72"/>
    <x v="0"/>
    <n v="1926.4"/>
    <x v="1"/>
    <s v="Bireysel"/>
    <x v="0"/>
    <x v="0"/>
  </r>
  <r>
    <n v="278"/>
    <x v="5"/>
    <x v="4"/>
    <x v="0"/>
    <x v="0"/>
    <n v="1128.83"/>
    <x v="0"/>
    <n v="916"/>
    <x v="2"/>
    <s v="Bireysel"/>
    <x v="0"/>
    <x v="0"/>
  </r>
  <r>
    <n v="279"/>
    <x v="6"/>
    <x v="5"/>
    <x v="0"/>
    <x v="0"/>
    <n v="857.87"/>
    <x v="1"/>
    <n v="1512.6"/>
    <x v="1"/>
    <s v="Kurumsal"/>
    <x v="1"/>
    <x v="1"/>
  </r>
  <r>
    <n v="280"/>
    <x v="0"/>
    <x v="6"/>
    <x v="1"/>
    <x v="1"/>
    <n v="656.05"/>
    <x v="1"/>
    <n v="1086.7"/>
    <x v="0"/>
    <s v="Bireysel"/>
    <x v="0"/>
    <x v="0"/>
  </r>
  <r>
    <n v="281"/>
    <x v="6"/>
    <x v="0"/>
    <x v="0"/>
    <x v="0"/>
    <n v="1680.12"/>
    <x v="3"/>
    <n v="1098.7"/>
    <x v="0"/>
    <s v="Kurumsal"/>
    <x v="1"/>
    <x v="1"/>
  </r>
  <r>
    <n v="282"/>
    <x v="6"/>
    <x v="1"/>
    <x v="1"/>
    <x v="1"/>
    <n v="291.91000000000003"/>
    <x v="2"/>
    <n v="592.29999999999995"/>
    <x v="2"/>
    <s v="Bireysel"/>
    <x v="0"/>
    <x v="0"/>
  </r>
  <r>
    <n v="283"/>
    <x v="6"/>
    <x v="8"/>
    <x v="0"/>
    <x v="0"/>
    <n v="863.06"/>
    <x v="1"/>
    <n v="473.1"/>
    <x v="3"/>
    <s v="Bireysel"/>
    <x v="0"/>
    <x v="0"/>
  </r>
  <r>
    <n v="284"/>
    <x v="5"/>
    <x v="1"/>
    <x v="2"/>
    <x v="2"/>
    <n v="180.8"/>
    <x v="2"/>
    <n v="611.6"/>
    <x v="2"/>
    <s v="Bireysel"/>
    <x v="0"/>
    <x v="0"/>
  </r>
  <r>
    <n v="285"/>
    <x v="6"/>
    <x v="3"/>
    <x v="0"/>
    <x v="0"/>
    <n v="1692.47"/>
    <x v="3"/>
    <n v="1134.8"/>
    <x v="0"/>
    <s v="Bireysel"/>
    <x v="0"/>
    <x v="0"/>
  </r>
  <r>
    <n v="286"/>
    <x v="2"/>
    <x v="0"/>
    <x v="0"/>
    <x v="0"/>
    <n v="804.88"/>
    <x v="1"/>
    <n v="106.9"/>
    <x v="3"/>
    <s v="Kurumsal"/>
    <x v="1"/>
    <x v="0"/>
  </r>
  <r>
    <n v="287"/>
    <x v="7"/>
    <x v="7"/>
    <x v="0"/>
    <x v="0"/>
    <n v="152.74"/>
    <x v="2"/>
    <n v="1819.1"/>
    <x v="1"/>
    <s v="Bireysel"/>
    <x v="0"/>
    <x v="0"/>
  </r>
  <r>
    <n v="288"/>
    <x v="3"/>
    <x v="5"/>
    <x v="0"/>
    <x v="0"/>
    <n v="1647.21"/>
    <x v="3"/>
    <n v="354.8"/>
    <x v="3"/>
    <s v="Bireysel"/>
    <x v="0"/>
    <x v="0"/>
  </r>
  <r>
    <n v="289"/>
    <x v="8"/>
    <x v="6"/>
    <x v="1"/>
    <x v="1"/>
    <n v="1778.33"/>
    <x v="3"/>
    <n v="479.2"/>
    <x v="3"/>
    <s v="Kurumsal"/>
    <x v="1"/>
    <x v="0"/>
  </r>
  <r>
    <n v="290"/>
    <x v="8"/>
    <x v="6"/>
    <x v="1"/>
    <x v="1"/>
    <n v="1091.29"/>
    <x v="0"/>
    <n v="1060.5999999999999"/>
    <x v="0"/>
    <s v="Bireysel"/>
    <x v="0"/>
    <x v="0"/>
  </r>
  <r>
    <n v="291"/>
    <x v="3"/>
    <x v="1"/>
    <x v="1"/>
    <x v="1"/>
    <n v="41.29"/>
    <x v="2"/>
    <n v="1434.7"/>
    <x v="0"/>
    <s v="Bireysel"/>
    <x v="0"/>
    <x v="0"/>
  </r>
  <r>
    <n v="292"/>
    <x v="5"/>
    <x v="5"/>
    <x v="0"/>
    <x v="0"/>
    <n v="514.34"/>
    <x v="1"/>
    <n v="236.7"/>
    <x v="3"/>
    <s v="Kurumsal"/>
    <x v="1"/>
    <x v="0"/>
  </r>
  <r>
    <n v="293"/>
    <x v="1"/>
    <x v="9"/>
    <x v="0"/>
    <x v="0"/>
    <n v="594.91"/>
    <x v="1"/>
    <n v="669.5"/>
    <x v="2"/>
    <s v="Kurumsal"/>
    <x v="1"/>
    <x v="0"/>
  </r>
  <r>
    <n v="294"/>
    <x v="5"/>
    <x v="5"/>
    <x v="0"/>
    <x v="0"/>
    <n v="1189.6400000000001"/>
    <x v="0"/>
    <n v="1938.9"/>
    <x v="1"/>
    <s v="Bireysel"/>
    <x v="0"/>
    <x v="0"/>
  </r>
  <r>
    <n v="295"/>
    <x v="8"/>
    <x v="4"/>
    <x v="0"/>
    <x v="0"/>
    <n v="70.459999999999994"/>
    <x v="2"/>
    <n v="561.6"/>
    <x v="2"/>
    <s v="Bireysel"/>
    <x v="0"/>
    <x v="1"/>
  </r>
  <r>
    <n v="296"/>
    <x v="8"/>
    <x v="5"/>
    <x v="1"/>
    <x v="1"/>
    <n v="127.39"/>
    <x v="2"/>
    <n v="660.4"/>
    <x v="2"/>
    <s v="Bireysel"/>
    <x v="0"/>
    <x v="0"/>
  </r>
  <r>
    <n v="297"/>
    <x v="3"/>
    <x v="4"/>
    <x v="0"/>
    <x v="0"/>
    <n v="731.89"/>
    <x v="1"/>
    <n v="1681.2"/>
    <x v="1"/>
    <s v="Bireysel"/>
    <x v="0"/>
    <x v="0"/>
  </r>
  <r>
    <n v="298"/>
    <x v="6"/>
    <x v="4"/>
    <x v="0"/>
    <x v="0"/>
    <n v="594.01"/>
    <x v="1"/>
    <n v="147.9"/>
    <x v="3"/>
    <s v="Bireysel"/>
    <x v="0"/>
    <x v="0"/>
  </r>
  <r>
    <n v="299"/>
    <x v="5"/>
    <x v="7"/>
    <x v="0"/>
    <x v="0"/>
    <n v="175.96"/>
    <x v="2"/>
    <n v="956"/>
    <x v="2"/>
    <s v="Bireysel"/>
    <x v="0"/>
    <x v="0"/>
  </r>
  <r>
    <n v="300"/>
    <x v="9"/>
    <x v="0"/>
    <x v="1"/>
    <x v="1"/>
    <n v="92.27"/>
    <x v="2"/>
    <n v="790.3"/>
    <x v="2"/>
    <s v="Bireysel"/>
    <x v="0"/>
    <x v="0"/>
  </r>
  <r>
    <n v="301"/>
    <x v="3"/>
    <x v="7"/>
    <x v="1"/>
    <x v="1"/>
    <n v="194.63"/>
    <x v="2"/>
    <n v="667.3"/>
    <x v="2"/>
    <s v="Bireysel"/>
    <x v="0"/>
    <x v="1"/>
  </r>
  <r>
    <n v="302"/>
    <x v="2"/>
    <x v="4"/>
    <x v="1"/>
    <x v="1"/>
    <n v="1654.36"/>
    <x v="3"/>
    <n v="607.1"/>
    <x v="2"/>
    <s v="Bireysel"/>
    <x v="0"/>
    <x v="1"/>
  </r>
  <r>
    <n v="303"/>
    <x v="8"/>
    <x v="3"/>
    <x v="0"/>
    <x v="0"/>
    <n v="100.04"/>
    <x v="2"/>
    <n v="228.2"/>
    <x v="3"/>
    <s v="Bireysel"/>
    <x v="0"/>
    <x v="0"/>
  </r>
  <r>
    <n v="304"/>
    <x v="3"/>
    <x v="6"/>
    <x v="0"/>
    <x v="0"/>
    <n v="1454.86"/>
    <x v="0"/>
    <n v="663.9"/>
    <x v="2"/>
    <s v="Kurumsal"/>
    <x v="1"/>
    <x v="0"/>
  </r>
  <r>
    <n v="305"/>
    <x v="5"/>
    <x v="4"/>
    <x v="1"/>
    <x v="1"/>
    <n v="1548.94"/>
    <x v="3"/>
    <n v="134"/>
    <x v="3"/>
    <s v="Kurumsal"/>
    <x v="1"/>
    <x v="0"/>
  </r>
  <r>
    <n v="306"/>
    <x v="8"/>
    <x v="7"/>
    <x v="1"/>
    <x v="1"/>
    <n v="708.44"/>
    <x v="1"/>
    <n v="1572.9"/>
    <x v="1"/>
    <s v="Bireysel"/>
    <x v="0"/>
    <x v="0"/>
  </r>
  <r>
    <n v="307"/>
    <x v="1"/>
    <x v="3"/>
    <x v="0"/>
    <x v="0"/>
    <n v="1650.45"/>
    <x v="3"/>
    <n v="826.5"/>
    <x v="2"/>
    <s v="Bireysel"/>
    <x v="0"/>
    <x v="0"/>
  </r>
  <r>
    <n v="308"/>
    <x v="3"/>
    <x v="7"/>
    <x v="1"/>
    <x v="1"/>
    <n v="1033.74"/>
    <x v="0"/>
    <n v="915.6"/>
    <x v="2"/>
    <s v="Bireysel"/>
    <x v="0"/>
    <x v="0"/>
  </r>
  <r>
    <n v="309"/>
    <x v="0"/>
    <x v="5"/>
    <x v="1"/>
    <x v="1"/>
    <n v="929.27"/>
    <x v="1"/>
    <n v="1792.5"/>
    <x v="1"/>
    <s v="Bireysel"/>
    <x v="0"/>
    <x v="0"/>
  </r>
  <r>
    <n v="310"/>
    <x v="8"/>
    <x v="8"/>
    <x v="1"/>
    <x v="1"/>
    <n v="95.58"/>
    <x v="2"/>
    <n v="1333.2"/>
    <x v="0"/>
    <s v="Bireysel"/>
    <x v="0"/>
    <x v="0"/>
  </r>
  <r>
    <n v="311"/>
    <x v="5"/>
    <x v="1"/>
    <x v="1"/>
    <x v="1"/>
    <n v="583.61"/>
    <x v="1"/>
    <n v="65.7"/>
    <x v="3"/>
    <s v="Bireysel"/>
    <x v="0"/>
    <x v="0"/>
  </r>
  <r>
    <n v="312"/>
    <x v="7"/>
    <x v="1"/>
    <x v="0"/>
    <x v="0"/>
    <n v="1862.36"/>
    <x v="3"/>
    <n v="1889.2"/>
    <x v="1"/>
    <s v="Bireysel"/>
    <x v="0"/>
    <x v="0"/>
  </r>
  <r>
    <n v="313"/>
    <x v="9"/>
    <x v="7"/>
    <x v="0"/>
    <x v="0"/>
    <n v="786.69"/>
    <x v="1"/>
    <n v="512.4"/>
    <x v="2"/>
    <s v="Kurumsal"/>
    <x v="1"/>
    <x v="1"/>
  </r>
  <r>
    <n v="314"/>
    <x v="4"/>
    <x v="9"/>
    <x v="0"/>
    <x v="0"/>
    <n v="1095.67"/>
    <x v="0"/>
    <n v="259.8"/>
    <x v="3"/>
    <s v="Bireysel"/>
    <x v="0"/>
    <x v="0"/>
  </r>
  <r>
    <n v="315"/>
    <x v="6"/>
    <x v="2"/>
    <x v="1"/>
    <x v="1"/>
    <n v="1066.3800000000001"/>
    <x v="0"/>
    <n v="1547.8"/>
    <x v="1"/>
    <s v="Bireysel"/>
    <x v="0"/>
    <x v="1"/>
  </r>
  <r>
    <n v="316"/>
    <x v="4"/>
    <x v="7"/>
    <x v="1"/>
    <x v="1"/>
    <n v="1182.9100000000001"/>
    <x v="0"/>
    <n v="1025.9000000000001"/>
    <x v="0"/>
    <s v="Kurumsal"/>
    <x v="1"/>
    <x v="0"/>
  </r>
  <r>
    <n v="317"/>
    <x v="5"/>
    <x v="5"/>
    <x v="1"/>
    <x v="1"/>
    <n v="127.36"/>
    <x v="2"/>
    <n v="895.9"/>
    <x v="2"/>
    <s v="Bireysel"/>
    <x v="0"/>
    <x v="0"/>
  </r>
  <r>
    <n v="318"/>
    <x v="2"/>
    <x v="9"/>
    <x v="0"/>
    <x v="0"/>
    <n v="727.54"/>
    <x v="1"/>
    <n v="536.5"/>
    <x v="2"/>
    <s v="Bireysel"/>
    <x v="0"/>
    <x v="1"/>
  </r>
  <r>
    <n v="319"/>
    <x v="2"/>
    <x v="4"/>
    <x v="1"/>
    <x v="1"/>
    <n v="1447.64"/>
    <x v="0"/>
    <n v="1117.5999999999999"/>
    <x v="0"/>
    <s v="Bireysel"/>
    <x v="0"/>
    <x v="0"/>
  </r>
  <r>
    <n v="320"/>
    <x v="7"/>
    <x v="7"/>
    <x v="1"/>
    <x v="1"/>
    <n v="405.12"/>
    <x v="2"/>
    <n v="585"/>
    <x v="2"/>
    <s v="Bireysel"/>
    <x v="0"/>
    <x v="0"/>
  </r>
  <r>
    <n v="321"/>
    <x v="6"/>
    <x v="0"/>
    <x v="1"/>
    <x v="1"/>
    <n v="411.14"/>
    <x v="2"/>
    <n v="1808.1"/>
    <x v="1"/>
    <s v="Kurumsal"/>
    <x v="1"/>
    <x v="0"/>
  </r>
  <r>
    <n v="322"/>
    <x v="0"/>
    <x v="1"/>
    <x v="1"/>
    <x v="1"/>
    <n v="25.13"/>
    <x v="2"/>
    <n v="469.6"/>
    <x v="3"/>
    <s v="Bireysel"/>
    <x v="0"/>
    <x v="0"/>
  </r>
  <r>
    <n v="323"/>
    <x v="7"/>
    <x v="8"/>
    <x v="1"/>
    <x v="1"/>
    <n v="877.78"/>
    <x v="1"/>
    <n v="1774.5"/>
    <x v="1"/>
    <s v="Bireysel"/>
    <x v="0"/>
    <x v="0"/>
  </r>
  <r>
    <n v="324"/>
    <x v="4"/>
    <x v="9"/>
    <x v="0"/>
    <x v="0"/>
    <n v="1766.06"/>
    <x v="3"/>
    <n v="1140.8"/>
    <x v="0"/>
    <s v="Bireysel"/>
    <x v="0"/>
    <x v="1"/>
  </r>
  <r>
    <n v="325"/>
    <x v="7"/>
    <x v="8"/>
    <x v="0"/>
    <x v="0"/>
    <n v="108.54"/>
    <x v="2"/>
    <n v="1665.6"/>
    <x v="1"/>
    <s v="Bireysel"/>
    <x v="0"/>
    <x v="1"/>
  </r>
  <r>
    <n v="326"/>
    <x v="4"/>
    <x v="3"/>
    <x v="0"/>
    <x v="0"/>
    <n v="386.28"/>
    <x v="2"/>
    <n v="1440"/>
    <x v="0"/>
    <s v="Kurumsal"/>
    <x v="1"/>
    <x v="1"/>
  </r>
  <r>
    <n v="327"/>
    <x v="8"/>
    <x v="1"/>
    <x v="0"/>
    <x v="0"/>
    <n v="623.62"/>
    <x v="1"/>
    <n v="1408.6"/>
    <x v="0"/>
    <s v="Kurumsal"/>
    <x v="1"/>
    <x v="0"/>
  </r>
  <r>
    <n v="328"/>
    <x v="2"/>
    <x v="4"/>
    <x v="1"/>
    <x v="1"/>
    <n v="1464.79"/>
    <x v="0"/>
    <n v="682.5"/>
    <x v="2"/>
    <s v="Bireysel"/>
    <x v="0"/>
    <x v="0"/>
  </r>
  <r>
    <n v="329"/>
    <x v="8"/>
    <x v="7"/>
    <x v="1"/>
    <x v="1"/>
    <n v="1283.07"/>
    <x v="0"/>
    <n v="506.1"/>
    <x v="2"/>
    <s v="Bireysel"/>
    <x v="0"/>
    <x v="0"/>
  </r>
  <r>
    <n v="330"/>
    <x v="9"/>
    <x v="7"/>
    <x v="0"/>
    <x v="0"/>
    <n v="834.81"/>
    <x v="1"/>
    <n v="461.2"/>
    <x v="3"/>
    <s v="Bireysel"/>
    <x v="0"/>
    <x v="1"/>
  </r>
  <r>
    <n v="331"/>
    <x v="6"/>
    <x v="7"/>
    <x v="0"/>
    <x v="0"/>
    <n v="1519.34"/>
    <x v="3"/>
    <n v="1721.5"/>
    <x v="1"/>
    <s v="Kurumsal"/>
    <x v="1"/>
    <x v="0"/>
  </r>
  <r>
    <n v="332"/>
    <x v="0"/>
    <x v="1"/>
    <x v="1"/>
    <x v="1"/>
    <n v="1221.21"/>
    <x v="0"/>
    <n v="1649.8"/>
    <x v="1"/>
    <s v="Bireysel"/>
    <x v="0"/>
    <x v="0"/>
  </r>
  <r>
    <n v="333"/>
    <x v="4"/>
    <x v="0"/>
    <x v="0"/>
    <x v="0"/>
    <n v="179.26"/>
    <x v="2"/>
    <n v="909.1"/>
    <x v="2"/>
    <s v="Bireysel"/>
    <x v="0"/>
    <x v="0"/>
  </r>
  <r>
    <n v="334"/>
    <x v="0"/>
    <x v="2"/>
    <x v="0"/>
    <x v="0"/>
    <n v="1636.96"/>
    <x v="3"/>
    <n v="308.2"/>
    <x v="3"/>
    <s v="Bireysel"/>
    <x v="0"/>
    <x v="0"/>
  </r>
  <r>
    <n v="335"/>
    <x v="4"/>
    <x v="6"/>
    <x v="0"/>
    <x v="0"/>
    <n v="509.36"/>
    <x v="1"/>
    <n v="795.4"/>
    <x v="2"/>
    <s v="Bireysel"/>
    <x v="0"/>
    <x v="0"/>
  </r>
  <r>
    <n v="336"/>
    <x v="5"/>
    <x v="5"/>
    <x v="0"/>
    <x v="0"/>
    <n v="546.52"/>
    <x v="1"/>
    <n v="1257.7"/>
    <x v="0"/>
    <s v="Bireysel"/>
    <x v="0"/>
    <x v="1"/>
  </r>
  <r>
    <n v="337"/>
    <x v="7"/>
    <x v="4"/>
    <x v="0"/>
    <x v="0"/>
    <n v="255.09"/>
    <x v="2"/>
    <n v="936.1"/>
    <x v="2"/>
    <s v="Bireysel"/>
    <x v="0"/>
    <x v="1"/>
  </r>
  <r>
    <n v="338"/>
    <x v="9"/>
    <x v="0"/>
    <x v="0"/>
    <x v="0"/>
    <n v="677.24"/>
    <x v="1"/>
    <n v="1571.4"/>
    <x v="1"/>
    <s v="Bireysel"/>
    <x v="0"/>
    <x v="0"/>
  </r>
  <r>
    <n v="339"/>
    <x v="2"/>
    <x v="4"/>
    <x v="0"/>
    <x v="0"/>
    <n v="1999.09"/>
    <x v="3"/>
    <n v="1995.4"/>
    <x v="1"/>
    <s v="Bireysel"/>
    <x v="0"/>
    <x v="0"/>
  </r>
  <r>
    <n v="340"/>
    <x v="4"/>
    <x v="9"/>
    <x v="1"/>
    <x v="1"/>
    <n v="814.47"/>
    <x v="1"/>
    <n v="422.7"/>
    <x v="3"/>
    <s v="Bireysel"/>
    <x v="0"/>
    <x v="1"/>
  </r>
  <r>
    <n v="341"/>
    <x v="0"/>
    <x v="1"/>
    <x v="0"/>
    <x v="0"/>
    <n v="444.87"/>
    <x v="2"/>
    <n v="946.3"/>
    <x v="2"/>
    <s v="Kurumsal"/>
    <x v="1"/>
    <x v="0"/>
  </r>
  <r>
    <n v="342"/>
    <x v="9"/>
    <x v="8"/>
    <x v="1"/>
    <x v="1"/>
    <n v="1526.15"/>
    <x v="3"/>
    <n v="890.4"/>
    <x v="2"/>
    <s v="Bireysel"/>
    <x v="0"/>
    <x v="0"/>
  </r>
  <r>
    <n v="343"/>
    <x v="1"/>
    <x v="4"/>
    <x v="0"/>
    <x v="0"/>
    <n v="1087.23"/>
    <x v="0"/>
    <n v="643.79999999999995"/>
    <x v="2"/>
    <s v="Bireysel"/>
    <x v="0"/>
    <x v="0"/>
  </r>
  <r>
    <n v="344"/>
    <x v="1"/>
    <x v="9"/>
    <x v="0"/>
    <x v="0"/>
    <n v="303.45"/>
    <x v="2"/>
    <n v="436.3"/>
    <x v="3"/>
    <s v="Bireysel"/>
    <x v="0"/>
    <x v="0"/>
  </r>
  <r>
    <n v="345"/>
    <x v="8"/>
    <x v="7"/>
    <x v="1"/>
    <x v="1"/>
    <n v="764.48"/>
    <x v="1"/>
    <n v="178.1"/>
    <x v="3"/>
    <s v="Bireysel"/>
    <x v="0"/>
    <x v="0"/>
  </r>
  <r>
    <n v="346"/>
    <x v="2"/>
    <x v="9"/>
    <x v="0"/>
    <x v="0"/>
    <n v="831.87"/>
    <x v="1"/>
    <n v="1779.9"/>
    <x v="1"/>
    <s v="Bireysel"/>
    <x v="0"/>
    <x v="0"/>
  </r>
  <r>
    <n v="347"/>
    <x v="5"/>
    <x v="2"/>
    <x v="0"/>
    <x v="0"/>
    <n v="1508.89"/>
    <x v="3"/>
    <n v="868.7"/>
    <x v="2"/>
    <s v="Kurumsal"/>
    <x v="1"/>
    <x v="0"/>
  </r>
  <r>
    <n v="348"/>
    <x v="0"/>
    <x v="1"/>
    <x v="0"/>
    <x v="0"/>
    <n v="46.24"/>
    <x v="2"/>
    <n v="1018.9"/>
    <x v="0"/>
    <s v="Bireysel"/>
    <x v="0"/>
    <x v="0"/>
  </r>
  <r>
    <n v="349"/>
    <x v="7"/>
    <x v="2"/>
    <x v="1"/>
    <x v="1"/>
    <n v="541.69000000000005"/>
    <x v="1"/>
    <n v="1838"/>
    <x v="1"/>
    <s v="Kurumsal"/>
    <x v="1"/>
    <x v="1"/>
  </r>
  <r>
    <n v="350"/>
    <x v="7"/>
    <x v="0"/>
    <x v="0"/>
    <x v="0"/>
    <n v="103.76"/>
    <x v="2"/>
    <n v="1563.8"/>
    <x v="1"/>
    <s v="Bireysel"/>
    <x v="0"/>
    <x v="0"/>
  </r>
  <r>
    <n v="351"/>
    <x v="0"/>
    <x v="3"/>
    <x v="0"/>
    <x v="0"/>
    <n v="541.35"/>
    <x v="1"/>
    <n v="304.5"/>
    <x v="3"/>
    <s v="Bireysel"/>
    <x v="0"/>
    <x v="0"/>
  </r>
  <r>
    <n v="352"/>
    <x v="6"/>
    <x v="5"/>
    <x v="1"/>
    <x v="1"/>
    <n v="1258.73"/>
    <x v="0"/>
    <n v="1152.5999999999999"/>
    <x v="0"/>
    <s v="Bireysel"/>
    <x v="0"/>
    <x v="0"/>
  </r>
  <r>
    <n v="353"/>
    <x v="5"/>
    <x v="1"/>
    <x v="0"/>
    <x v="0"/>
    <n v="966.33"/>
    <x v="1"/>
    <n v="912.4"/>
    <x v="2"/>
    <s v="Bireysel"/>
    <x v="0"/>
    <x v="0"/>
  </r>
  <r>
    <n v="354"/>
    <x v="9"/>
    <x v="6"/>
    <x v="1"/>
    <x v="1"/>
    <n v="726.61"/>
    <x v="1"/>
    <n v="1604.6"/>
    <x v="1"/>
    <s v="Kurumsal"/>
    <x v="1"/>
    <x v="0"/>
  </r>
  <r>
    <n v="355"/>
    <x v="4"/>
    <x v="6"/>
    <x v="1"/>
    <x v="1"/>
    <n v="1898.67"/>
    <x v="3"/>
    <n v="1462.3"/>
    <x v="0"/>
    <s v="Kurumsal"/>
    <x v="1"/>
    <x v="1"/>
  </r>
  <r>
    <n v="356"/>
    <x v="6"/>
    <x v="5"/>
    <x v="2"/>
    <x v="2"/>
    <n v="1266.1600000000001"/>
    <x v="0"/>
    <n v="1396.3"/>
    <x v="0"/>
    <s v="Kurumsal"/>
    <x v="1"/>
    <x v="0"/>
  </r>
  <r>
    <n v="357"/>
    <x v="4"/>
    <x v="7"/>
    <x v="0"/>
    <x v="0"/>
    <n v="264.23"/>
    <x v="2"/>
    <n v="714.1"/>
    <x v="2"/>
    <s v="Kurumsal"/>
    <x v="1"/>
    <x v="0"/>
  </r>
  <r>
    <n v="358"/>
    <x v="4"/>
    <x v="2"/>
    <x v="1"/>
    <x v="1"/>
    <n v="1122.3800000000001"/>
    <x v="0"/>
    <n v="1619.7"/>
    <x v="1"/>
    <s v="Kurumsal"/>
    <x v="1"/>
    <x v="0"/>
  </r>
  <r>
    <n v="359"/>
    <x v="6"/>
    <x v="3"/>
    <x v="0"/>
    <x v="0"/>
    <n v="1562.56"/>
    <x v="3"/>
    <n v="152.19999999999999"/>
    <x v="3"/>
    <s v="Bireysel"/>
    <x v="0"/>
    <x v="0"/>
  </r>
  <r>
    <n v="360"/>
    <x v="8"/>
    <x v="6"/>
    <x v="0"/>
    <x v="0"/>
    <n v="1418.44"/>
    <x v="0"/>
    <n v="361.3"/>
    <x v="3"/>
    <s v="Bireysel"/>
    <x v="0"/>
    <x v="0"/>
  </r>
  <r>
    <n v="361"/>
    <x v="1"/>
    <x v="0"/>
    <x v="0"/>
    <x v="0"/>
    <n v="348.32"/>
    <x v="2"/>
    <n v="704.5"/>
    <x v="2"/>
    <s v="Bireysel"/>
    <x v="0"/>
    <x v="1"/>
  </r>
  <r>
    <n v="362"/>
    <x v="4"/>
    <x v="8"/>
    <x v="1"/>
    <x v="1"/>
    <n v="1944.98"/>
    <x v="3"/>
    <n v="199.8"/>
    <x v="3"/>
    <s v="Bireysel"/>
    <x v="0"/>
    <x v="1"/>
  </r>
  <r>
    <n v="363"/>
    <x v="6"/>
    <x v="1"/>
    <x v="0"/>
    <x v="0"/>
    <n v="900.38"/>
    <x v="1"/>
    <n v="508.2"/>
    <x v="2"/>
    <s v="Kurumsal"/>
    <x v="1"/>
    <x v="0"/>
  </r>
  <r>
    <n v="364"/>
    <x v="6"/>
    <x v="9"/>
    <x v="0"/>
    <x v="0"/>
    <n v="322.25"/>
    <x v="2"/>
    <n v="1668.8"/>
    <x v="1"/>
    <s v="Bireysel"/>
    <x v="0"/>
    <x v="1"/>
  </r>
  <r>
    <n v="365"/>
    <x v="3"/>
    <x v="2"/>
    <x v="0"/>
    <x v="0"/>
    <n v="364.49"/>
    <x v="2"/>
    <n v="1899.1"/>
    <x v="1"/>
    <s v="Bireysel"/>
    <x v="0"/>
    <x v="0"/>
  </r>
  <r>
    <n v="366"/>
    <x v="8"/>
    <x v="9"/>
    <x v="1"/>
    <x v="1"/>
    <n v="200.98"/>
    <x v="2"/>
    <n v="644"/>
    <x v="2"/>
    <s v="Bireysel"/>
    <x v="0"/>
    <x v="0"/>
  </r>
  <r>
    <n v="367"/>
    <x v="2"/>
    <x v="3"/>
    <x v="1"/>
    <x v="1"/>
    <n v="1608.02"/>
    <x v="3"/>
    <n v="565.79999999999995"/>
    <x v="2"/>
    <s v="Bireysel"/>
    <x v="0"/>
    <x v="0"/>
  </r>
  <r>
    <n v="368"/>
    <x v="3"/>
    <x v="5"/>
    <x v="1"/>
    <x v="1"/>
    <n v="248.45"/>
    <x v="2"/>
    <n v="595.79999999999995"/>
    <x v="2"/>
    <s v="Bireysel"/>
    <x v="0"/>
    <x v="0"/>
  </r>
  <r>
    <n v="369"/>
    <x v="3"/>
    <x v="0"/>
    <x v="0"/>
    <x v="0"/>
    <n v="254.62"/>
    <x v="2"/>
    <n v="591.6"/>
    <x v="2"/>
    <s v="Bireysel"/>
    <x v="0"/>
    <x v="0"/>
  </r>
  <r>
    <n v="370"/>
    <x v="0"/>
    <x v="3"/>
    <x v="0"/>
    <x v="0"/>
    <n v="1701.69"/>
    <x v="3"/>
    <n v="120.1"/>
    <x v="3"/>
    <s v="Bireysel"/>
    <x v="0"/>
    <x v="1"/>
  </r>
  <r>
    <n v="371"/>
    <x v="1"/>
    <x v="5"/>
    <x v="1"/>
    <x v="1"/>
    <n v="692.49"/>
    <x v="1"/>
    <n v="1857.5"/>
    <x v="1"/>
    <s v="Bireysel"/>
    <x v="0"/>
    <x v="0"/>
  </r>
  <r>
    <n v="372"/>
    <x v="6"/>
    <x v="0"/>
    <x v="0"/>
    <x v="0"/>
    <n v="66.56"/>
    <x v="2"/>
    <n v="466.7"/>
    <x v="3"/>
    <s v="Bireysel"/>
    <x v="0"/>
    <x v="0"/>
  </r>
  <r>
    <n v="373"/>
    <x v="1"/>
    <x v="5"/>
    <x v="0"/>
    <x v="0"/>
    <n v="108.53"/>
    <x v="2"/>
    <n v="869"/>
    <x v="2"/>
    <s v="Bireysel"/>
    <x v="0"/>
    <x v="0"/>
  </r>
  <r>
    <n v="374"/>
    <x v="5"/>
    <x v="1"/>
    <x v="1"/>
    <x v="1"/>
    <n v="288.63"/>
    <x v="2"/>
    <n v="68.900000000000006"/>
    <x v="3"/>
    <s v="Bireysel"/>
    <x v="0"/>
    <x v="0"/>
  </r>
  <r>
    <n v="375"/>
    <x v="0"/>
    <x v="2"/>
    <x v="2"/>
    <x v="2"/>
    <n v="430.72"/>
    <x v="2"/>
    <n v="1723"/>
    <x v="1"/>
    <s v="Bireysel"/>
    <x v="0"/>
    <x v="0"/>
  </r>
  <r>
    <n v="376"/>
    <x v="2"/>
    <x v="4"/>
    <x v="1"/>
    <x v="1"/>
    <n v="1331.97"/>
    <x v="0"/>
    <n v="1475.8"/>
    <x v="0"/>
    <s v="Bireysel"/>
    <x v="0"/>
    <x v="0"/>
  </r>
  <r>
    <n v="377"/>
    <x v="1"/>
    <x v="3"/>
    <x v="1"/>
    <x v="1"/>
    <n v="318.87"/>
    <x v="2"/>
    <n v="1896.2"/>
    <x v="1"/>
    <s v="Bireysel"/>
    <x v="0"/>
    <x v="0"/>
  </r>
  <r>
    <n v="378"/>
    <x v="7"/>
    <x v="3"/>
    <x v="2"/>
    <x v="2"/>
    <n v="242.15"/>
    <x v="2"/>
    <n v="1574.2"/>
    <x v="1"/>
    <s v="Bireysel"/>
    <x v="0"/>
    <x v="0"/>
  </r>
  <r>
    <n v="379"/>
    <x v="4"/>
    <x v="6"/>
    <x v="0"/>
    <x v="0"/>
    <n v="1530.61"/>
    <x v="3"/>
    <n v="661.7"/>
    <x v="2"/>
    <s v="Bireysel"/>
    <x v="0"/>
    <x v="0"/>
  </r>
  <r>
    <n v="380"/>
    <x v="5"/>
    <x v="7"/>
    <x v="0"/>
    <x v="0"/>
    <n v="1343.76"/>
    <x v="0"/>
    <n v="533.4"/>
    <x v="2"/>
    <s v="Bireysel"/>
    <x v="0"/>
    <x v="0"/>
  </r>
  <r>
    <n v="381"/>
    <x v="8"/>
    <x v="1"/>
    <x v="2"/>
    <x v="2"/>
    <n v="873.47"/>
    <x v="1"/>
    <n v="1410.5"/>
    <x v="0"/>
    <s v="Bireysel"/>
    <x v="0"/>
    <x v="0"/>
  </r>
  <r>
    <n v="382"/>
    <x v="2"/>
    <x v="8"/>
    <x v="0"/>
    <x v="0"/>
    <n v="1100.8699999999999"/>
    <x v="0"/>
    <n v="760"/>
    <x v="2"/>
    <s v="Bireysel"/>
    <x v="0"/>
    <x v="0"/>
  </r>
  <r>
    <n v="383"/>
    <x v="5"/>
    <x v="9"/>
    <x v="1"/>
    <x v="1"/>
    <n v="627.41"/>
    <x v="1"/>
    <n v="1154.0999999999999"/>
    <x v="0"/>
    <s v="Kurumsal"/>
    <x v="1"/>
    <x v="0"/>
  </r>
  <r>
    <n v="384"/>
    <x v="4"/>
    <x v="5"/>
    <x v="0"/>
    <x v="0"/>
    <n v="967.59"/>
    <x v="1"/>
    <n v="62.2"/>
    <x v="3"/>
    <s v="Bireysel"/>
    <x v="0"/>
    <x v="0"/>
  </r>
  <r>
    <n v="385"/>
    <x v="0"/>
    <x v="4"/>
    <x v="0"/>
    <x v="0"/>
    <n v="1015.81"/>
    <x v="0"/>
    <n v="170.7"/>
    <x v="3"/>
    <s v="Kurumsal"/>
    <x v="1"/>
    <x v="0"/>
  </r>
  <r>
    <n v="386"/>
    <x v="4"/>
    <x v="2"/>
    <x v="1"/>
    <x v="1"/>
    <n v="777.54"/>
    <x v="1"/>
    <n v="1094"/>
    <x v="0"/>
    <s v="Bireysel"/>
    <x v="0"/>
    <x v="1"/>
  </r>
  <r>
    <n v="387"/>
    <x v="3"/>
    <x v="2"/>
    <x v="2"/>
    <x v="2"/>
    <n v="1813.61"/>
    <x v="3"/>
    <n v="1153.8"/>
    <x v="0"/>
    <s v="Bireysel"/>
    <x v="0"/>
    <x v="0"/>
  </r>
  <r>
    <n v="388"/>
    <x v="4"/>
    <x v="1"/>
    <x v="1"/>
    <x v="1"/>
    <n v="37.04"/>
    <x v="2"/>
    <n v="1515.3"/>
    <x v="1"/>
    <s v="Bireysel"/>
    <x v="0"/>
    <x v="1"/>
  </r>
  <r>
    <n v="389"/>
    <x v="3"/>
    <x v="2"/>
    <x v="0"/>
    <x v="0"/>
    <n v="1565.43"/>
    <x v="3"/>
    <n v="307.3"/>
    <x v="3"/>
    <s v="Bireysel"/>
    <x v="0"/>
    <x v="0"/>
  </r>
  <r>
    <n v="390"/>
    <x v="0"/>
    <x v="6"/>
    <x v="1"/>
    <x v="1"/>
    <n v="253.14"/>
    <x v="2"/>
    <n v="1050.7"/>
    <x v="0"/>
    <s v="Bireysel"/>
    <x v="0"/>
    <x v="0"/>
  </r>
  <r>
    <n v="391"/>
    <x v="9"/>
    <x v="3"/>
    <x v="0"/>
    <x v="0"/>
    <n v="1596.11"/>
    <x v="3"/>
    <n v="429.2"/>
    <x v="3"/>
    <s v="Bireysel"/>
    <x v="0"/>
    <x v="0"/>
  </r>
  <r>
    <n v="392"/>
    <x v="3"/>
    <x v="8"/>
    <x v="0"/>
    <x v="0"/>
    <n v="1233.74"/>
    <x v="0"/>
    <n v="231.7"/>
    <x v="3"/>
    <s v="Bireysel"/>
    <x v="0"/>
    <x v="1"/>
  </r>
  <r>
    <n v="393"/>
    <x v="8"/>
    <x v="4"/>
    <x v="0"/>
    <x v="0"/>
    <n v="1687.34"/>
    <x v="3"/>
    <n v="850.5"/>
    <x v="2"/>
    <s v="Bireysel"/>
    <x v="0"/>
    <x v="0"/>
  </r>
  <r>
    <n v="394"/>
    <x v="4"/>
    <x v="9"/>
    <x v="0"/>
    <x v="0"/>
    <n v="199.54"/>
    <x v="2"/>
    <n v="368.5"/>
    <x v="3"/>
    <s v="Bireysel"/>
    <x v="0"/>
    <x v="0"/>
  </r>
  <r>
    <n v="395"/>
    <x v="4"/>
    <x v="5"/>
    <x v="0"/>
    <x v="0"/>
    <n v="1120.17"/>
    <x v="0"/>
    <n v="482.5"/>
    <x v="3"/>
    <s v="Bireysel"/>
    <x v="0"/>
    <x v="1"/>
  </r>
  <r>
    <n v="396"/>
    <x v="8"/>
    <x v="4"/>
    <x v="2"/>
    <x v="2"/>
    <n v="1004.67"/>
    <x v="0"/>
    <n v="669.2"/>
    <x v="2"/>
    <s v="Bireysel"/>
    <x v="0"/>
    <x v="0"/>
  </r>
  <r>
    <n v="397"/>
    <x v="7"/>
    <x v="5"/>
    <x v="1"/>
    <x v="1"/>
    <n v="1413.86"/>
    <x v="0"/>
    <n v="555.79999999999995"/>
    <x v="2"/>
    <s v="Bireysel"/>
    <x v="0"/>
    <x v="0"/>
  </r>
  <r>
    <n v="398"/>
    <x v="6"/>
    <x v="0"/>
    <x v="1"/>
    <x v="1"/>
    <n v="1070.9100000000001"/>
    <x v="0"/>
    <n v="220.8"/>
    <x v="3"/>
    <s v="Kurumsal"/>
    <x v="1"/>
    <x v="0"/>
  </r>
  <r>
    <n v="399"/>
    <x v="9"/>
    <x v="4"/>
    <x v="0"/>
    <x v="0"/>
    <n v="1083.77"/>
    <x v="0"/>
    <n v="225.3"/>
    <x v="3"/>
    <s v="Kurumsal"/>
    <x v="1"/>
    <x v="0"/>
  </r>
  <r>
    <n v="400"/>
    <x v="2"/>
    <x v="8"/>
    <x v="2"/>
    <x v="2"/>
    <n v="862.04"/>
    <x v="1"/>
    <n v="426.8"/>
    <x v="3"/>
    <s v="Kurumsal"/>
    <x v="1"/>
    <x v="0"/>
  </r>
  <r>
    <n v="401"/>
    <x v="3"/>
    <x v="1"/>
    <x v="2"/>
    <x v="2"/>
    <n v="621.12"/>
    <x v="1"/>
    <n v="148.6"/>
    <x v="3"/>
    <s v="Bireysel"/>
    <x v="0"/>
    <x v="0"/>
  </r>
  <r>
    <n v="402"/>
    <x v="8"/>
    <x v="6"/>
    <x v="1"/>
    <x v="1"/>
    <n v="967.12"/>
    <x v="1"/>
    <n v="1271.5999999999999"/>
    <x v="0"/>
    <s v="Kurumsal"/>
    <x v="1"/>
    <x v="0"/>
  </r>
  <r>
    <n v="403"/>
    <x v="0"/>
    <x v="3"/>
    <x v="0"/>
    <x v="0"/>
    <n v="241.39"/>
    <x v="2"/>
    <n v="610.29999999999995"/>
    <x v="2"/>
    <s v="Kurumsal"/>
    <x v="1"/>
    <x v="0"/>
  </r>
  <r>
    <n v="404"/>
    <x v="3"/>
    <x v="0"/>
    <x v="0"/>
    <x v="0"/>
    <n v="1923.22"/>
    <x v="3"/>
    <n v="595.5"/>
    <x v="2"/>
    <s v="Bireysel"/>
    <x v="0"/>
    <x v="1"/>
  </r>
  <r>
    <n v="405"/>
    <x v="6"/>
    <x v="2"/>
    <x v="0"/>
    <x v="0"/>
    <n v="1430.25"/>
    <x v="0"/>
    <n v="697.4"/>
    <x v="2"/>
    <s v="Bireysel"/>
    <x v="0"/>
    <x v="1"/>
  </r>
  <r>
    <n v="406"/>
    <x v="0"/>
    <x v="4"/>
    <x v="0"/>
    <x v="0"/>
    <n v="1905.17"/>
    <x v="3"/>
    <n v="1342.5"/>
    <x v="0"/>
    <s v="Kurumsal"/>
    <x v="1"/>
    <x v="0"/>
  </r>
  <r>
    <n v="407"/>
    <x v="5"/>
    <x v="0"/>
    <x v="0"/>
    <x v="0"/>
    <n v="457.32"/>
    <x v="2"/>
    <n v="1747.7"/>
    <x v="1"/>
    <s v="Bireysel"/>
    <x v="0"/>
    <x v="0"/>
  </r>
  <r>
    <n v="408"/>
    <x v="4"/>
    <x v="5"/>
    <x v="2"/>
    <x v="2"/>
    <n v="1759.29"/>
    <x v="3"/>
    <n v="1530.2"/>
    <x v="1"/>
    <s v="Bireysel"/>
    <x v="0"/>
    <x v="0"/>
  </r>
  <r>
    <n v="409"/>
    <x v="5"/>
    <x v="6"/>
    <x v="0"/>
    <x v="0"/>
    <n v="1618.54"/>
    <x v="3"/>
    <n v="1468.7"/>
    <x v="0"/>
    <s v="Bireysel"/>
    <x v="0"/>
    <x v="0"/>
  </r>
  <r>
    <n v="410"/>
    <x v="3"/>
    <x v="2"/>
    <x v="0"/>
    <x v="0"/>
    <n v="1355.92"/>
    <x v="0"/>
    <n v="994.6"/>
    <x v="2"/>
    <s v="Bireysel"/>
    <x v="0"/>
    <x v="0"/>
  </r>
  <r>
    <n v="411"/>
    <x v="6"/>
    <x v="4"/>
    <x v="0"/>
    <x v="0"/>
    <n v="1251.93"/>
    <x v="0"/>
    <n v="1402.9"/>
    <x v="0"/>
    <s v="Kurumsal"/>
    <x v="1"/>
    <x v="0"/>
  </r>
  <r>
    <n v="412"/>
    <x v="9"/>
    <x v="0"/>
    <x v="0"/>
    <x v="0"/>
    <n v="636.52"/>
    <x v="1"/>
    <n v="1127.9000000000001"/>
    <x v="0"/>
    <s v="Bireysel"/>
    <x v="0"/>
    <x v="0"/>
  </r>
  <r>
    <n v="413"/>
    <x v="3"/>
    <x v="4"/>
    <x v="0"/>
    <x v="0"/>
    <n v="1633.74"/>
    <x v="3"/>
    <n v="471.7"/>
    <x v="3"/>
    <s v="Bireysel"/>
    <x v="0"/>
    <x v="0"/>
  </r>
  <r>
    <n v="414"/>
    <x v="8"/>
    <x v="8"/>
    <x v="0"/>
    <x v="0"/>
    <n v="1005.52"/>
    <x v="0"/>
    <n v="456.7"/>
    <x v="3"/>
    <s v="Bireysel"/>
    <x v="0"/>
    <x v="0"/>
  </r>
  <r>
    <n v="415"/>
    <x v="1"/>
    <x v="9"/>
    <x v="0"/>
    <x v="0"/>
    <n v="146.43"/>
    <x v="2"/>
    <n v="628"/>
    <x v="2"/>
    <s v="Bireysel"/>
    <x v="0"/>
    <x v="1"/>
  </r>
  <r>
    <n v="416"/>
    <x v="3"/>
    <x v="9"/>
    <x v="1"/>
    <x v="1"/>
    <n v="629.16"/>
    <x v="1"/>
    <n v="1826.1"/>
    <x v="1"/>
    <s v="Bireysel"/>
    <x v="0"/>
    <x v="0"/>
  </r>
  <r>
    <n v="417"/>
    <x v="4"/>
    <x v="0"/>
    <x v="2"/>
    <x v="2"/>
    <n v="1870.92"/>
    <x v="3"/>
    <n v="1117.5"/>
    <x v="0"/>
    <s v="Bireysel"/>
    <x v="0"/>
    <x v="0"/>
  </r>
  <r>
    <n v="418"/>
    <x v="4"/>
    <x v="1"/>
    <x v="0"/>
    <x v="0"/>
    <n v="1702.11"/>
    <x v="3"/>
    <n v="1481.1"/>
    <x v="0"/>
    <s v="Kurumsal"/>
    <x v="1"/>
    <x v="0"/>
  </r>
  <r>
    <n v="419"/>
    <x v="3"/>
    <x v="8"/>
    <x v="0"/>
    <x v="0"/>
    <n v="196.39"/>
    <x v="2"/>
    <n v="725.8"/>
    <x v="2"/>
    <s v="Bireysel"/>
    <x v="0"/>
    <x v="0"/>
  </r>
  <r>
    <n v="420"/>
    <x v="0"/>
    <x v="8"/>
    <x v="1"/>
    <x v="1"/>
    <n v="1257.8499999999999"/>
    <x v="0"/>
    <n v="845"/>
    <x v="2"/>
    <s v="Bireysel"/>
    <x v="0"/>
    <x v="0"/>
  </r>
  <r>
    <n v="421"/>
    <x v="1"/>
    <x v="6"/>
    <x v="0"/>
    <x v="0"/>
    <n v="498.78"/>
    <x v="2"/>
    <n v="294.89999999999998"/>
    <x v="3"/>
    <s v="Bireysel"/>
    <x v="0"/>
    <x v="0"/>
  </r>
  <r>
    <n v="422"/>
    <x v="8"/>
    <x v="1"/>
    <x v="0"/>
    <x v="0"/>
    <n v="329.82"/>
    <x v="2"/>
    <n v="384"/>
    <x v="3"/>
    <s v="Bireysel"/>
    <x v="0"/>
    <x v="0"/>
  </r>
  <r>
    <n v="423"/>
    <x v="3"/>
    <x v="5"/>
    <x v="1"/>
    <x v="1"/>
    <n v="377.89"/>
    <x v="2"/>
    <n v="1663.3"/>
    <x v="1"/>
    <s v="Kurumsal"/>
    <x v="1"/>
    <x v="0"/>
  </r>
  <r>
    <n v="424"/>
    <x v="0"/>
    <x v="5"/>
    <x v="0"/>
    <x v="0"/>
    <n v="44.49"/>
    <x v="2"/>
    <n v="1190.4000000000001"/>
    <x v="0"/>
    <s v="Kurumsal"/>
    <x v="1"/>
    <x v="0"/>
  </r>
  <r>
    <n v="425"/>
    <x v="4"/>
    <x v="2"/>
    <x v="1"/>
    <x v="1"/>
    <n v="784.41"/>
    <x v="1"/>
    <n v="708.2"/>
    <x v="2"/>
    <s v="Kurumsal"/>
    <x v="1"/>
    <x v="0"/>
  </r>
  <r>
    <n v="426"/>
    <x v="4"/>
    <x v="3"/>
    <x v="0"/>
    <x v="0"/>
    <n v="38.69"/>
    <x v="2"/>
    <n v="1615.6"/>
    <x v="1"/>
    <s v="Bireysel"/>
    <x v="0"/>
    <x v="1"/>
  </r>
  <r>
    <n v="427"/>
    <x v="6"/>
    <x v="9"/>
    <x v="0"/>
    <x v="0"/>
    <n v="826.25"/>
    <x v="1"/>
    <n v="530.70000000000005"/>
    <x v="2"/>
    <s v="Bireysel"/>
    <x v="0"/>
    <x v="0"/>
  </r>
  <r>
    <n v="428"/>
    <x v="3"/>
    <x v="5"/>
    <x v="0"/>
    <x v="0"/>
    <n v="1870.31"/>
    <x v="3"/>
    <n v="1953.3"/>
    <x v="1"/>
    <s v="Bireysel"/>
    <x v="0"/>
    <x v="0"/>
  </r>
  <r>
    <n v="429"/>
    <x v="1"/>
    <x v="1"/>
    <x v="1"/>
    <x v="1"/>
    <n v="863.93"/>
    <x v="1"/>
    <n v="722.4"/>
    <x v="2"/>
    <s v="Bireysel"/>
    <x v="0"/>
    <x v="1"/>
  </r>
  <r>
    <n v="430"/>
    <x v="7"/>
    <x v="8"/>
    <x v="0"/>
    <x v="0"/>
    <n v="1756.58"/>
    <x v="3"/>
    <n v="707.8"/>
    <x v="2"/>
    <s v="Kurumsal"/>
    <x v="1"/>
    <x v="0"/>
  </r>
  <r>
    <n v="431"/>
    <x v="1"/>
    <x v="5"/>
    <x v="0"/>
    <x v="0"/>
    <n v="1212.98"/>
    <x v="0"/>
    <n v="658.2"/>
    <x v="2"/>
    <s v="Kurumsal"/>
    <x v="1"/>
    <x v="0"/>
  </r>
  <r>
    <n v="432"/>
    <x v="4"/>
    <x v="8"/>
    <x v="1"/>
    <x v="1"/>
    <n v="498.03"/>
    <x v="2"/>
    <n v="288.10000000000002"/>
    <x v="3"/>
    <s v="Kurumsal"/>
    <x v="1"/>
    <x v="0"/>
  </r>
  <r>
    <n v="433"/>
    <x v="4"/>
    <x v="5"/>
    <x v="0"/>
    <x v="0"/>
    <n v="714.93"/>
    <x v="1"/>
    <n v="266.7"/>
    <x v="3"/>
    <s v="Kurumsal"/>
    <x v="1"/>
    <x v="0"/>
  </r>
  <r>
    <n v="434"/>
    <x v="5"/>
    <x v="9"/>
    <x v="0"/>
    <x v="0"/>
    <n v="172.42"/>
    <x v="2"/>
    <n v="1313.8"/>
    <x v="0"/>
    <s v="Kurumsal"/>
    <x v="1"/>
    <x v="0"/>
  </r>
  <r>
    <n v="435"/>
    <x v="4"/>
    <x v="6"/>
    <x v="1"/>
    <x v="1"/>
    <n v="670.26"/>
    <x v="1"/>
    <n v="1756.5"/>
    <x v="1"/>
    <s v="Bireysel"/>
    <x v="0"/>
    <x v="0"/>
  </r>
  <r>
    <n v="436"/>
    <x v="8"/>
    <x v="5"/>
    <x v="0"/>
    <x v="0"/>
    <n v="1356.69"/>
    <x v="0"/>
    <n v="1591.5"/>
    <x v="1"/>
    <s v="Bireysel"/>
    <x v="0"/>
    <x v="1"/>
  </r>
  <r>
    <n v="437"/>
    <x v="2"/>
    <x v="9"/>
    <x v="1"/>
    <x v="1"/>
    <n v="148.86000000000001"/>
    <x v="2"/>
    <n v="325.2"/>
    <x v="3"/>
    <s v="Bireysel"/>
    <x v="0"/>
    <x v="1"/>
  </r>
  <r>
    <n v="438"/>
    <x v="3"/>
    <x v="5"/>
    <x v="1"/>
    <x v="1"/>
    <n v="414.78"/>
    <x v="2"/>
    <n v="1113.9000000000001"/>
    <x v="0"/>
    <s v="Bireysel"/>
    <x v="0"/>
    <x v="0"/>
  </r>
  <r>
    <n v="439"/>
    <x v="1"/>
    <x v="3"/>
    <x v="1"/>
    <x v="1"/>
    <n v="765.97"/>
    <x v="1"/>
    <n v="255.9"/>
    <x v="3"/>
    <s v="Bireysel"/>
    <x v="0"/>
    <x v="0"/>
  </r>
  <r>
    <n v="440"/>
    <x v="2"/>
    <x v="9"/>
    <x v="0"/>
    <x v="0"/>
    <n v="1964.19"/>
    <x v="3"/>
    <n v="138.30000000000001"/>
    <x v="3"/>
    <s v="Bireysel"/>
    <x v="0"/>
    <x v="0"/>
  </r>
  <r>
    <n v="441"/>
    <x v="0"/>
    <x v="1"/>
    <x v="2"/>
    <x v="2"/>
    <n v="157.08000000000001"/>
    <x v="2"/>
    <n v="1330"/>
    <x v="0"/>
    <s v="Kurumsal"/>
    <x v="1"/>
    <x v="0"/>
  </r>
  <r>
    <n v="442"/>
    <x v="7"/>
    <x v="6"/>
    <x v="0"/>
    <x v="0"/>
    <n v="1468.31"/>
    <x v="0"/>
    <n v="1093.5"/>
    <x v="0"/>
    <s v="Bireysel"/>
    <x v="0"/>
    <x v="0"/>
  </r>
  <r>
    <n v="443"/>
    <x v="8"/>
    <x v="1"/>
    <x v="1"/>
    <x v="1"/>
    <n v="23.68"/>
    <x v="2"/>
    <n v="209.9"/>
    <x v="3"/>
    <s v="Kurumsal"/>
    <x v="1"/>
    <x v="0"/>
  </r>
  <r>
    <n v="444"/>
    <x v="1"/>
    <x v="3"/>
    <x v="0"/>
    <x v="0"/>
    <n v="1563.09"/>
    <x v="3"/>
    <n v="118.1"/>
    <x v="3"/>
    <s v="Kurumsal"/>
    <x v="1"/>
    <x v="1"/>
  </r>
  <r>
    <n v="445"/>
    <x v="2"/>
    <x v="4"/>
    <x v="0"/>
    <x v="0"/>
    <n v="1571.61"/>
    <x v="3"/>
    <n v="1980"/>
    <x v="1"/>
    <s v="Bireysel"/>
    <x v="0"/>
    <x v="1"/>
  </r>
  <r>
    <n v="446"/>
    <x v="7"/>
    <x v="7"/>
    <x v="0"/>
    <x v="0"/>
    <n v="120.42"/>
    <x v="2"/>
    <n v="108.5"/>
    <x v="3"/>
    <s v="Bireysel"/>
    <x v="0"/>
    <x v="0"/>
  </r>
  <r>
    <n v="447"/>
    <x v="5"/>
    <x v="6"/>
    <x v="2"/>
    <x v="2"/>
    <n v="1980.77"/>
    <x v="3"/>
    <n v="916.8"/>
    <x v="2"/>
    <s v="Bireysel"/>
    <x v="0"/>
    <x v="0"/>
  </r>
  <r>
    <n v="448"/>
    <x v="8"/>
    <x v="3"/>
    <x v="2"/>
    <x v="2"/>
    <n v="653.88"/>
    <x v="1"/>
    <n v="1034"/>
    <x v="0"/>
    <s v="Kurumsal"/>
    <x v="1"/>
    <x v="0"/>
  </r>
  <r>
    <n v="449"/>
    <x v="8"/>
    <x v="3"/>
    <x v="0"/>
    <x v="0"/>
    <n v="1882.84"/>
    <x v="3"/>
    <n v="278.7"/>
    <x v="3"/>
    <s v="Kurumsal"/>
    <x v="1"/>
    <x v="0"/>
  </r>
  <r>
    <n v="450"/>
    <x v="5"/>
    <x v="0"/>
    <x v="0"/>
    <x v="0"/>
    <n v="1829.89"/>
    <x v="3"/>
    <n v="379.7"/>
    <x v="3"/>
    <s v="Kurumsal"/>
    <x v="1"/>
    <x v="0"/>
  </r>
  <r>
    <n v="451"/>
    <x v="3"/>
    <x v="9"/>
    <x v="1"/>
    <x v="1"/>
    <n v="2.79"/>
    <x v="2"/>
    <n v="736"/>
    <x v="2"/>
    <s v="Bireysel"/>
    <x v="0"/>
    <x v="0"/>
  </r>
  <r>
    <n v="452"/>
    <x v="5"/>
    <x v="1"/>
    <x v="0"/>
    <x v="0"/>
    <n v="902.98"/>
    <x v="1"/>
    <n v="1535.3"/>
    <x v="1"/>
    <s v="Bireysel"/>
    <x v="0"/>
    <x v="0"/>
  </r>
  <r>
    <n v="453"/>
    <x v="8"/>
    <x v="8"/>
    <x v="0"/>
    <x v="0"/>
    <n v="1954.32"/>
    <x v="3"/>
    <n v="1038.8"/>
    <x v="0"/>
    <s v="Bireysel"/>
    <x v="0"/>
    <x v="0"/>
  </r>
  <r>
    <n v="454"/>
    <x v="8"/>
    <x v="4"/>
    <x v="1"/>
    <x v="1"/>
    <n v="210.73"/>
    <x v="2"/>
    <n v="1293.9000000000001"/>
    <x v="0"/>
    <s v="Kurumsal"/>
    <x v="1"/>
    <x v="0"/>
  </r>
  <r>
    <n v="455"/>
    <x v="2"/>
    <x v="8"/>
    <x v="0"/>
    <x v="0"/>
    <n v="1097.83"/>
    <x v="0"/>
    <n v="1971.1"/>
    <x v="1"/>
    <s v="Bireysel"/>
    <x v="0"/>
    <x v="0"/>
  </r>
  <r>
    <n v="456"/>
    <x v="4"/>
    <x v="1"/>
    <x v="2"/>
    <x v="2"/>
    <n v="1958.02"/>
    <x v="3"/>
    <n v="1547.6"/>
    <x v="1"/>
    <s v="Bireysel"/>
    <x v="0"/>
    <x v="0"/>
  </r>
  <r>
    <n v="457"/>
    <x v="7"/>
    <x v="1"/>
    <x v="0"/>
    <x v="0"/>
    <n v="1113.21"/>
    <x v="0"/>
    <n v="897"/>
    <x v="2"/>
    <s v="Bireysel"/>
    <x v="0"/>
    <x v="0"/>
  </r>
  <r>
    <n v="458"/>
    <x v="5"/>
    <x v="9"/>
    <x v="0"/>
    <x v="0"/>
    <n v="383.68"/>
    <x v="2"/>
    <n v="920.6"/>
    <x v="2"/>
    <s v="Bireysel"/>
    <x v="0"/>
    <x v="0"/>
  </r>
  <r>
    <n v="459"/>
    <x v="7"/>
    <x v="1"/>
    <x v="0"/>
    <x v="0"/>
    <n v="1166.46"/>
    <x v="0"/>
    <n v="1256.5999999999999"/>
    <x v="0"/>
    <s v="Bireysel"/>
    <x v="0"/>
    <x v="1"/>
  </r>
  <r>
    <n v="460"/>
    <x v="5"/>
    <x v="0"/>
    <x v="1"/>
    <x v="1"/>
    <n v="412.86"/>
    <x v="2"/>
    <n v="1347.5"/>
    <x v="0"/>
    <s v="Bireysel"/>
    <x v="0"/>
    <x v="0"/>
  </r>
  <r>
    <n v="461"/>
    <x v="0"/>
    <x v="6"/>
    <x v="0"/>
    <x v="0"/>
    <n v="1041.81"/>
    <x v="0"/>
    <n v="1026.4000000000001"/>
    <x v="0"/>
    <s v="Bireysel"/>
    <x v="0"/>
    <x v="0"/>
  </r>
  <r>
    <n v="462"/>
    <x v="8"/>
    <x v="1"/>
    <x v="1"/>
    <x v="1"/>
    <n v="152.71"/>
    <x v="2"/>
    <n v="1307.5"/>
    <x v="0"/>
    <s v="Bireysel"/>
    <x v="0"/>
    <x v="0"/>
  </r>
  <r>
    <n v="463"/>
    <x v="4"/>
    <x v="8"/>
    <x v="0"/>
    <x v="0"/>
    <n v="1212.94"/>
    <x v="0"/>
    <n v="95.9"/>
    <x v="3"/>
    <s v="Kurumsal"/>
    <x v="1"/>
    <x v="0"/>
  </r>
  <r>
    <n v="464"/>
    <x v="2"/>
    <x v="7"/>
    <x v="1"/>
    <x v="1"/>
    <n v="103.6"/>
    <x v="2"/>
    <n v="887.8"/>
    <x v="2"/>
    <s v="Kurumsal"/>
    <x v="1"/>
    <x v="0"/>
  </r>
  <r>
    <n v="465"/>
    <x v="4"/>
    <x v="0"/>
    <x v="0"/>
    <x v="0"/>
    <n v="1481.62"/>
    <x v="0"/>
    <n v="593.9"/>
    <x v="2"/>
    <s v="Bireysel"/>
    <x v="0"/>
    <x v="0"/>
  </r>
  <r>
    <n v="466"/>
    <x v="4"/>
    <x v="5"/>
    <x v="0"/>
    <x v="0"/>
    <n v="1263.25"/>
    <x v="0"/>
    <n v="301.89999999999998"/>
    <x v="3"/>
    <s v="Kurumsal"/>
    <x v="1"/>
    <x v="0"/>
  </r>
  <r>
    <n v="467"/>
    <x v="4"/>
    <x v="5"/>
    <x v="1"/>
    <x v="1"/>
    <n v="1101.46"/>
    <x v="0"/>
    <n v="244.1"/>
    <x v="3"/>
    <s v="Bireysel"/>
    <x v="0"/>
    <x v="0"/>
  </r>
  <r>
    <n v="468"/>
    <x v="7"/>
    <x v="3"/>
    <x v="0"/>
    <x v="0"/>
    <n v="1381.11"/>
    <x v="0"/>
    <n v="1226.2"/>
    <x v="0"/>
    <s v="Bireysel"/>
    <x v="0"/>
    <x v="0"/>
  </r>
  <r>
    <n v="469"/>
    <x v="5"/>
    <x v="4"/>
    <x v="0"/>
    <x v="0"/>
    <n v="292.16000000000003"/>
    <x v="2"/>
    <n v="1071"/>
    <x v="0"/>
    <s v="Kurumsal"/>
    <x v="1"/>
    <x v="0"/>
  </r>
  <r>
    <n v="470"/>
    <x v="9"/>
    <x v="2"/>
    <x v="1"/>
    <x v="1"/>
    <n v="1192.74"/>
    <x v="0"/>
    <n v="544.5"/>
    <x v="2"/>
    <s v="Kurumsal"/>
    <x v="1"/>
    <x v="0"/>
  </r>
  <r>
    <n v="471"/>
    <x v="0"/>
    <x v="6"/>
    <x v="0"/>
    <x v="0"/>
    <n v="348.36"/>
    <x v="2"/>
    <n v="968.4"/>
    <x v="2"/>
    <s v="Kurumsal"/>
    <x v="1"/>
    <x v="0"/>
  </r>
  <r>
    <n v="472"/>
    <x v="1"/>
    <x v="7"/>
    <x v="1"/>
    <x v="1"/>
    <n v="1851.42"/>
    <x v="3"/>
    <n v="1009.9"/>
    <x v="0"/>
    <s v="Bireysel"/>
    <x v="0"/>
    <x v="0"/>
  </r>
  <r>
    <n v="473"/>
    <x v="4"/>
    <x v="3"/>
    <x v="0"/>
    <x v="0"/>
    <n v="141.33000000000001"/>
    <x v="2"/>
    <n v="430.3"/>
    <x v="3"/>
    <s v="Bireysel"/>
    <x v="0"/>
    <x v="0"/>
  </r>
  <r>
    <n v="474"/>
    <x v="3"/>
    <x v="4"/>
    <x v="1"/>
    <x v="1"/>
    <n v="86.36"/>
    <x v="2"/>
    <n v="1321.6"/>
    <x v="0"/>
    <s v="Kurumsal"/>
    <x v="1"/>
    <x v="0"/>
  </r>
  <r>
    <n v="475"/>
    <x v="7"/>
    <x v="5"/>
    <x v="0"/>
    <x v="0"/>
    <n v="1393.12"/>
    <x v="0"/>
    <n v="1572.8"/>
    <x v="1"/>
    <s v="Bireysel"/>
    <x v="0"/>
    <x v="1"/>
  </r>
  <r>
    <n v="476"/>
    <x v="2"/>
    <x v="8"/>
    <x v="0"/>
    <x v="0"/>
    <n v="918.75"/>
    <x v="1"/>
    <n v="1593.4"/>
    <x v="1"/>
    <s v="Bireysel"/>
    <x v="0"/>
    <x v="0"/>
  </r>
  <r>
    <n v="477"/>
    <x v="1"/>
    <x v="7"/>
    <x v="2"/>
    <x v="2"/>
    <n v="188.73"/>
    <x v="2"/>
    <n v="1224.8"/>
    <x v="0"/>
    <s v="Kurumsal"/>
    <x v="1"/>
    <x v="1"/>
  </r>
  <r>
    <n v="478"/>
    <x v="9"/>
    <x v="4"/>
    <x v="1"/>
    <x v="1"/>
    <n v="1108.99"/>
    <x v="0"/>
    <n v="1047.7"/>
    <x v="0"/>
    <s v="Kurumsal"/>
    <x v="1"/>
    <x v="1"/>
  </r>
  <r>
    <n v="479"/>
    <x v="3"/>
    <x v="4"/>
    <x v="0"/>
    <x v="0"/>
    <n v="1285.06"/>
    <x v="0"/>
    <n v="169"/>
    <x v="3"/>
    <s v="Kurumsal"/>
    <x v="1"/>
    <x v="0"/>
  </r>
  <r>
    <n v="480"/>
    <x v="9"/>
    <x v="3"/>
    <x v="0"/>
    <x v="0"/>
    <n v="1409.07"/>
    <x v="0"/>
    <n v="611.29999999999995"/>
    <x v="2"/>
    <s v="Bireysel"/>
    <x v="0"/>
    <x v="0"/>
  </r>
  <r>
    <n v="481"/>
    <x v="1"/>
    <x v="7"/>
    <x v="1"/>
    <x v="1"/>
    <n v="749.65"/>
    <x v="1"/>
    <n v="231.9"/>
    <x v="3"/>
    <s v="Kurumsal"/>
    <x v="1"/>
    <x v="0"/>
  </r>
  <r>
    <n v="482"/>
    <x v="4"/>
    <x v="9"/>
    <x v="0"/>
    <x v="0"/>
    <n v="112.95"/>
    <x v="2"/>
    <n v="1929.5"/>
    <x v="1"/>
    <s v="Bireysel"/>
    <x v="0"/>
    <x v="1"/>
  </r>
  <r>
    <n v="483"/>
    <x v="3"/>
    <x v="2"/>
    <x v="1"/>
    <x v="1"/>
    <n v="904.12"/>
    <x v="1"/>
    <n v="313.39999999999998"/>
    <x v="3"/>
    <s v="Bireysel"/>
    <x v="0"/>
    <x v="0"/>
  </r>
  <r>
    <n v="484"/>
    <x v="9"/>
    <x v="9"/>
    <x v="1"/>
    <x v="1"/>
    <n v="1345.75"/>
    <x v="0"/>
    <n v="346"/>
    <x v="3"/>
    <s v="Bireysel"/>
    <x v="0"/>
    <x v="0"/>
  </r>
  <r>
    <n v="485"/>
    <x v="2"/>
    <x v="7"/>
    <x v="0"/>
    <x v="0"/>
    <n v="116.92"/>
    <x v="2"/>
    <n v="1784.7"/>
    <x v="1"/>
    <s v="Bireysel"/>
    <x v="0"/>
    <x v="0"/>
  </r>
  <r>
    <n v="486"/>
    <x v="5"/>
    <x v="9"/>
    <x v="0"/>
    <x v="0"/>
    <n v="1053.8800000000001"/>
    <x v="0"/>
    <n v="1890.7"/>
    <x v="1"/>
    <s v="Bireysel"/>
    <x v="0"/>
    <x v="0"/>
  </r>
  <r>
    <n v="487"/>
    <x v="8"/>
    <x v="2"/>
    <x v="1"/>
    <x v="1"/>
    <n v="50.28"/>
    <x v="2"/>
    <n v="1543.4"/>
    <x v="1"/>
    <s v="Bireysel"/>
    <x v="0"/>
    <x v="0"/>
  </r>
  <r>
    <n v="488"/>
    <x v="5"/>
    <x v="5"/>
    <x v="0"/>
    <x v="0"/>
    <n v="9.0299999999999994"/>
    <x v="2"/>
    <n v="60.5"/>
    <x v="3"/>
    <s v="Bireysel"/>
    <x v="0"/>
    <x v="0"/>
  </r>
  <r>
    <n v="489"/>
    <x v="1"/>
    <x v="0"/>
    <x v="0"/>
    <x v="0"/>
    <n v="352.29"/>
    <x v="2"/>
    <n v="52.6"/>
    <x v="3"/>
    <s v="Bireysel"/>
    <x v="0"/>
    <x v="0"/>
  </r>
  <r>
    <n v="490"/>
    <x v="7"/>
    <x v="1"/>
    <x v="2"/>
    <x v="2"/>
    <n v="238.55"/>
    <x v="2"/>
    <n v="787.3"/>
    <x v="2"/>
    <s v="Bireysel"/>
    <x v="0"/>
    <x v="1"/>
  </r>
  <r>
    <n v="491"/>
    <x v="8"/>
    <x v="9"/>
    <x v="0"/>
    <x v="0"/>
    <n v="900.92"/>
    <x v="1"/>
    <n v="329.6"/>
    <x v="3"/>
    <s v="Bireysel"/>
    <x v="0"/>
    <x v="0"/>
  </r>
  <r>
    <n v="492"/>
    <x v="0"/>
    <x v="1"/>
    <x v="1"/>
    <x v="1"/>
    <n v="1226.46"/>
    <x v="0"/>
    <n v="85.9"/>
    <x v="3"/>
    <s v="Bireysel"/>
    <x v="0"/>
    <x v="0"/>
  </r>
  <r>
    <n v="493"/>
    <x v="2"/>
    <x v="8"/>
    <x v="0"/>
    <x v="0"/>
    <n v="43.01"/>
    <x v="2"/>
    <n v="954.9"/>
    <x v="2"/>
    <s v="Kurumsal"/>
    <x v="1"/>
    <x v="0"/>
  </r>
  <r>
    <n v="494"/>
    <x v="0"/>
    <x v="6"/>
    <x v="0"/>
    <x v="0"/>
    <n v="1878.42"/>
    <x v="3"/>
    <n v="1889"/>
    <x v="1"/>
    <s v="Kurumsal"/>
    <x v="1"/>
    <x v="0"/>
  </r>
  <r>
    <n v="495"/>
    <x v="3"/>
    <x v="8"/>
    <x v="0"/>
    <x v="0"/>
    <n v="18.329999999999998"/>
    <x v="2"/>
    <n v="681.4"/>
    <x v="2"/>
    <s v="Bireysel"/>
    <x v="0"/>
    <x v="0"/>
  </r>
  <r>
    <n v="496"/>
    <x v="8"/>
    <x v="7"/>
    <x v="0"/>
    <x v="0"/>
    <n v="1545.74"/>
    <x v="3"/>
    <n v="1339.2"/>
    <x v="0"/>
    <s v="Kurumsal"/>
    <x v="1"/>
    <x v="0"/>
  </r>
  <r>
    <n v="497"/>
    <x v="0"/>
    <x v="4"/>
    <x v="0"/>
    <x v="0"/>
    <n v="1252.28"/>
    <x v="0"/>
    <n v="1321.9"/>
    <x v="0"/>
    <s v="Bireysel"/>
    <x v="0"/>
    <x v="0"/>
  </r>
  <r>
    <n v="498"/>
    <x v="0"/>
    <x v="5"/>
    <x v="0"/>
    <x v="0"/>
    <n v="750.24"/>
    <x v="1"/>
    <n v="539.6"/>
    <x v="2"/>
    <s v="Bireysel"/>
    <x v="0"/>
    <x v="0"/>
  </r>
  <r>
    <n v="499"/>
    <x v="9"/>
    <x v="9"/>
    <x v="1"/>
    <x v="1"/>
    <n v="105.73"/>
    <x v="2"/>
    <n v="1318.3"/>
    <x v="0"/>
    <s v="Kurumsal"/>
    <x v="1"/>
    <x v="0"/>
  </r>
  <r>
    <n v="500"/>
    <x v="5"/>
    <x v="3"/>
    <x v="0"/>
    <x v="0"/>
    <n v="1256.8399999999999"/>
    <x v="0"/>
    <n v="464.1"/>
    <x v="3"/>
    <s v="Bireysel"/>
    <x v="0"/>
    <x v="0"/>
  </r>
  <r>
    <n v="501"/>
    <x v="9"/>
    <x v="6"/>
    <x v="0"/>
    <x v="0"/>
    <n v="77.430000000000007"/>
    <x v="2"/>
    <n v="287.89999999999998"/>
    <x v="3"/>
    <s v="Kurumsal"/>
    <x v="1"/>
    <x v="0"/>
  </r>
  <r>
    <n v="502"/>
    <x v="8"/>
    <x v="2"/>
    <x v="0"/>
    <x v="0"/>
    <n v="1872.85"/>
    <x v="3"/>
    <n v="1417.7"/>
    <x v="0"/>
    <s v="Bireysel"/>
    <x v="0"/>
    <x v="0"/>
  </r>
  <r>
    <n v="503"/>
    <x v="8"/>
    <x v="2"/>
    <x v="0"/>
    <x v="0"/>
    <n v="1086.27"/>
    <x v="0"/>
    <n v="271.2"/>
    <x v="3"/>
    <s v="Kurumsal"/>
    <x v="1"/>
    <x v="0"/>
  </r>
  <r>
    <n v="504"/>
    <x v="1"/>
    <x v="1"/>
    <x v="0"/>
    <x v="0"/>
    <n v="187.96"/>
    <x v="2"/>
    <n v="1994"/>
    <x v="1"/>
    <s v="Bireysel"/>
    <x v="0"/>
    <x v="0"/>
  </r>
  <r>
    <n v="505"/>
    <x v="9"/>
    <x v="9"/>
    <x v="0"/>
    <x v="0"/>
    <n v="444.86"/>
    <x v="2"/>
    <n v="407.7"/>
    <x v="3"/>
    <s v="Bireysel"/>
    <x v="0"/>
    <x v="0"/>
  </r>
  <r>
    <n v="506"/>
    <x v="6"/>
    <x v="2"/>
    <x v="0"/>
    <x v="0"/>
    <n v="1452.82"/>
    <x v="0"/>
    <n v="1208.5999999999999"/>
    <x v="0"/>
    <s v="Bireysel"/>
    <x v="0"/>
    <x v="0"/>
  </r>
  <r>
    <n v="507"/>
    <x v="5"/>
    <x v="0"/>
    <x v="0"/>
    <x v="0"/>
    <n v="1236.4100000000001"/>
    <x v="0"/>
    <n v="852.2"/>
    <x v="2"/>
    <s v="Kurumsal"/>
    <x v="1"/>
    <x v="1"/>
  </r>
  <r>
    <n v="508"/>
    <x v="8"/>
    <x v="6"/>
    <x v="0"/>
    <x v="0"/>
    <n v="1480.12"/>
    <x v="0"/>
    <n v="296.5"/>
    <x v="3"/>
    <s v="Bireysel"/>
    <x v="0"/>
    <x v="1"/>
  </r>
  <r>
    <n v="509"/>
    <x v="1"/>
    <x v="0"/>
    <x v="1"/>
    <x v="1"/>
    <n v="433.26"/>
    <x v="2"/>
    <n v="104.3"/>
    <x v="3"/>
    <s v="Kurumsal"/>
    <x v="1"/>
    <x v="0"/>
  </r>
  <r>
    <n v="510"/>
    <x v="9"/>
    <x v="4"/>
    <x v="0"/>
    <x v="0"/>
    <n v="1331.66"/>
    <x v="0"/>
    <n v="1264.3"/>
    <x v="0"/>
    <s v="Bireysel"/>
    <x v="0"/>
    <x v="0"/>
  </r>
  <r>
    <n v="511"/>
    <x v="5"/>
    <x v="6"/>
    <x v="0"/>
    <x v="0"/>
    <n v="998.59"/>
    <x v="1"/>
    <n v="1623.2"/>
    <x v="1"/>
    <s v="Bireysel"/>
    <x v="0"/>
    <x v="0"/>
  </r>
  <r>
    <n v="512"/>
    <x v="9"/>
    <x v="0"/>
    <x v="1"/>
    <x v="1"/>
    <n v="1486.94"/>
    <x v="0"/>
    <n v="1691.9"/>
    <x v="1"/>
    <s v="Bireysel"/>
    <x v="0"/>
    <x v="0"/>
  </r>
  <r>
    <n v="513"/>
    <x v="0"/>
    <x v="6"/>
    <x v="0"/>
    <x v="0"/>
    <n v="657.45"/>
    <x v="1"/>
    <n v="991.3"/>
    <x v="2"/>
    <s v="Bireysel"/>
    <x v="0"/>
    <x v="0"/>
  </r>
  <r>
    <n v="514"/>
    <x v="1"/>
    <x v="4"/>
    <x v="1"/>
    <x v="1"/>
    <n v="1780.66"/>
    <x v="3"/>
    <n v="1566"/>
    <x v="1"/>
    <s v="Kurumsal"/>
    <x v="1"/>
    <x v="0"/>
  </r>
  <r>
    <n v="515"/>
    <x v="5"/>
    <x v="1"/>
    <x v="0"/>
    <x v="0"/>
    <n v="173.18"/>
    <x v="2"/>
    <n v="1362.1"/>
    <x v="0"/>
    <s v="Bireysel"/>
    <x v="0"/>
    <x v="0"/>
  </r>
  <r>
    <n v="516"/>
    <x v="4"/>
    <x v="9"/>
    <x v="0"/>
    <x v="0"/>
    <n v="1615.34"/>
    <x v="3"/>
    <n v="1462.3"/>
    <x v="0"/>
    <s v="Bireysel"/>
    <x v="0"/>
    <x v="0"/>
  </r>
  <r>
    <n v="517"/>
    <x v="3"/>
    <x v="9"/>
    <x v="0"/>
    <x v="0"/>
    <n v="1723.33"/>
    <x v="3"/>
    <n v="1010.6"/>
    <x v="0"/>
    <s v="Bireysel"/>
    <x v="0"/>
    <x v="0"/>
  </r>
  <r>
    <n v="518"/>
    <x v="3"/>
    <x v="2"/>
    <x v="0"/>
    <x v="0"/>
    <n v="1635.42"/>
    <x v="3"/>
    <n v="1285.2"/>
    <x v="0"/>
    <s v="Bireysel"/>
    <x v="0"/>
    <x v="0"/>
  </r>
  <r>
    <n v="519"/>
    <x v="5"/>
    <x v="0"/>
    <x v="1"/>
    <x v="1"/>
    <n v="1027.8900000000001"/>
    <x v="0"/>
    <n v="1620.8"/>
    <x v="1"/>
    <s v="Kurumsal"/>
    <x v="1"/>
    <x v="0"/>
  </r>
  <r>
    <n v="520"/>
    <x v="9"/>
    <x v="2"/>
    <x v="0"/>
    <x v="0"/>
    <n v="879.58"/>
    <x v="1"/>
    <n v="825.9"/>
    <x v="2"/>
    <s v="Bireysel"/>
    <x v="0"/>
    <x v="0"/>
  </r>
  <r>
    <n v="521"/>
    <x v="1"/>
    <x v="7"/>
    <x v="1"/>
    <x v="1"/>
    <n v="1992.54"/>
    <x v="3"/>
    <n v="1621.7"/>
    <x v="1"/>
    <s v="Bireysel"/>
    <x v="0"/>
    <x v="0"/>
  </r>
  <r>
    <n v="522"/>
    <x v="3"/>
    <x v="0"/>
    <x v="0"/>
    <x v="0"/>
    <n v="46.22"/>
    <x v="2"/>
    <n v="1204.4000000000001"/>
    <x v="0"/>
    <s v="Kurumsal"/>
    <x v="1"/>
    <x v="0"/>
  </r>
  <r>
    <n v="523"/>
    <x v="1"/>
    <x v="6"/>
    <x v="0"/>
    <x v="0"/>
    <n v="1096.02"/>
    <x v="0"/>
    <n v="373.5"/>
    <x v="3"/>
    <s v="Kurumsal"/>
    <x v="1"/>
    <x v="0"/>
  </r>
  <r>
    <n v="524"/>
    <x v="3"/>
    <x v="8"/>
    <x v="0"/>
    <x v="0"/>
    <n v="134.30000000000001"/>
    <x v="2"/>
    <n v="98.1"/>
    <x v="3"/>
    <s v="Bireysel"/>
    <x v="0"/>
    <x v="0"/>
  </r>
  <r>
    <n v="525"/>
    <x v="0"/>
    <x v="4"/>
    <x v="0"/>
    <x v="0"/>
    <n v="1403.23"/>
    <x v="0"/>
    <n v="757.4"/>
    <x v="2"/>
    <s v="Bireysel"/>
    <x v="0"/>
    <x v="0"/>
  </r>
  <r>
    <n v="526"/>
    <x v="9"/>
    <x v="7"/>
    <x v="0"/>
    <x v="0"/>
    <n v="412.03"/>
    <x v="2"/>
    <n v="1116.0999999999999"/>
    <x v="0"/>
    <s v="Bireysel"/>
    <x v="0"/>
    <x v="0"/>
  </r>
  <r>
    <n v="527"/>
    <x v="0"/>
    <x v="4"/>
    <x v="1"/>
    <x v="1"/>
    <n v="1309.72"/>
    <x v="0"/>
    <n v="1687.6"/>
    <x v="1"/>
    <s v="Bireysel"/>
    <x v="0"/>
    <x v="0"/>
  </r>
  <r>
    <n v="528"/>
    <x v="3"/>
    <x v="9"/>
    <x v="1"/>
    <x v="1"/>
    <n v="1637.65"/>
    <x v="3"/>
    <n v="298.60000000000002"/>
    <x v="3"/>
    <s v="Kurumsal"/>
    <x v="1"/>
    <x v="1"/>
  </r>
  <r>
    <n v="529"/>
    <x v="4"/>
    <x v="9"/>
    <x v="0"/>
    <x v="0"/>
    <n v="104.79"/>
    <x v="2"/>
    <n v="1610.4"/>
    <x v="1"/>
    <s v="Bireysel"/>
    <x v="0"/>
    <x v="0"/>
  </r>
  <r>
    <n v="530"/>
    <x v="4"/>
    <x v="2"/>
    <x v="1"/>
    <x v="1"/>
    <n v="1823.48"/>
    <x v="3"/>
    <n v="1732.9"/>
    <x v="1"/>
    <s v="Bireysel"/>
    <x v="0"/>
    <x v="0"/>
  </r>
  <r>
    <n v="531"/>
    <x v="0"/>
    <x v="0"/>
    <x v="2"/>
    <x v="2"/>
    <n v="63.86"/>
    <x v="2"/>
    <n v="343.8"/>
    <x v="3"/>
    <s v="Bireysel"/>
    <x v="0"/>
    <x v="0"/>
  </r>
  <r>
    <n v="532"/>
    <x v="4"/>
    <x v="8"/>
    <x v="1"/>
    <x v="1"/>
    <n v="715.16"/>
    <x v="1"/>
    <n v="1710.6"/>
    <x v="1"/>
    <s v="Bireysel"/>
    <x v="0"/>
    <x v="0"/>
  </r>
  <r>
    <n v="533"/>
    <x v="3"/>
    <x v="5"/>
    <x v="0"/>
    <x v="0"/>
    <n v="36.549999999999997"/>
    <x v="2"/>
    <n v="1983.3"/>
    <x v="1"/>
    <s v="Bireysel"/>
    <x v="0"/>
    <x v="0"/>
  </r>
  <r>
    <n v="534"/>
    <x v="5"/>
    <x v="7"/>
    <x v="1"/>
    <x v="1"/>
    <n v="15.89"/>
    <x v="2"/>
    <n v="1467.3"/>
    <x v="0"/>
    <s v="Bireysel"/>
    <x v="0"/>
    <x v="0"/>
  </r>
  <r>
    <n v="535"/>
    <x v="0"/>
    <x v="9"/>
    <x v="0"/>
    <x v="0"/>
    <n v="1822.78"/>
    <x v="3"/>
    <n v="1580.3"/>
    <x v="1"/>
    <s v="Bireysel"/>
    <x v="0"/>
    <x v="0"/>
  </r>
  <r>
    <n v="536"/>
    <x v="7"/>
    <x v="2"/>
    <x v="2"/>
    <x v="2"/>
    <n v="712.95"/>
    <x v="1"/>
    <n v="1989.1"/>
    <x v="1"/>
    <s v="Bireysel"/>
    <x v="0"/>
    <x v="0"/>
  </r>
  <r>
    <n v="537"/>
    <x v="9"/>
    <x v="9"/>
    <x v="0"/>
    <x v="0"/>
    <n v="852.42"/>
    <x v="1"/>
    <n v="1230.7"/>
    <x v="0"/>
    <s v="Bireysel"/>
    <x v="0"/>
    <x v="0"/>
  </r>
  <r>
    <n v="538"/>
    <x v="4"/>
    <x v="2"/>
    <x v="0"/>
    <x v="0"/>
    <n v="434.61"/>
    <x v="2"/>
    <n v="650.4"/>
    <x v="2"/>
    <s v="Bireysel"/>
    <x v="0"/>
    <x v="1"/>
  </r>
  <r>
    <n v="539"/>
    <x v="4"/>
    <x v="6"/>
    <x v="1"/>
    <x v="1"/>
    <n v="1196.21"/>
    <x v="0"/>
    <n v="1683.2"/>
    <x v="1"/>
    <s v="Bireysel"/>
    <x v="0"/>
    <x v="0"/>
  </r>
  <r>
    <n v="540"/>
    <x v="8"/>
    <x v="8"/>
    <x v="0"/>
    <x v="0"/>
    <n v="1191.6300000000001"/>
    <x v="0"/>
    <n v="1248.2"/>
    <x v="0"/>
    <s v="Bireysel"/>
    <x v="0"/>
    <x v="0"/>
  </r>
  <r>
    <n v="541"/>
    <x v="6"/>
    <x v="0"/>
    <x v="2"/>
    <x v="2"/>
    <n v="747.54"/>
    <x v="1"/>
    <n v="1183.3"/>
    <x v="0"/>
    <s v="Bireysel"/>
    <x v="0"/>
    <x v="0"/>
  </r>
  <r>
    <n v="542"/>
    <x v="0"/>
    <x v="1"/>
    <x v="2"/>
    <x v="2"/>
    <n v="66.94"/>
    <x v="2"/>
    <n v="544.6"/>
    <x v="2"/>
    <s v="Bireysel"/>
    <x v="0"/>
    <x v="0"/>
  </r>
  <r>
    <n v="543"/>
    <x v="2"/>
    <x v="3"/>
    <x v="1"/>
    <x v="1"/>
    <n v="177.05"/>
    <x v="2"/>
    <n v="1524.9"/>
    <x v="1"/>
    <s v="Bireysel"/>
    <x v="0"/>
    <x v="0"/>
  </r>
  <r>
    <n v="544"/>
    <x v="4"/>
    <x v="3"/>
    <x v="0"/>
    <x v="0"/>
    <n v="769.65"/>
    <x v="1"/>
    <n v="209.3"/>
    <x v="3"/>
    <s v="Bireysel"/>
    <x v="0"/>
    <x v="0"/>
  </r>
  <r>
    <n v="545"/>
    <x v="9"/>
    <x v="2"/>
    <x v="1"/>
    <x v="1"/>
    <n v="989.53"/>
    <x v="1"/>
    <n v="1852.4"/>
    <x v="1"/>
    <s v="Kurumsal"/>
    <x v="1"/>
    <x v="1"/>
  </r>
  <r>
    <n v="546"/>
    <x v="7"/>
    <x v="6"/>
    <x v="0"/>
    <x v="0"/>
    <n v="570.19000000000005"/>
    <x v="1"/>
    <n v="685.4"/>
    <x v="2"/>
    <s v="Kurumsal"/>
    <x v="1"/>
    <x v="0"/>
  </r>
  <r>
    <n v="547"/>
    <x v="4"/>
    <x v="8"/>
    <x v="0"/>
    <x v="0"/>
    <n v="1574.61"/>
    <x v="3"/>
    <n v="299.2"/>
    <x v="3"/>
    <s v="Kurumsal"/>
    <x v="1"/>
    <x v="0"/>
  </r>
  <r>
    <n v="548"/>
    <x v="7"/>
    <x v="5"/>
    <x v="1"/>
    <x v="1"/>
    <n v="797.91"/>
    <x v="1"/>
    <n v="912.6"/>
    <x v="2"/>
    <s v="Bireysel"/>
    <x v="0"/>
    <x v="0"/>
  </r>
  <r>
    <n v="549"/>
    <x v="3"/>
    <x v="5"/>
    <x v="0"/>
    <x v="0"/>
    <n v="1029.6500000000001"/>
    <x v="0"/>
    <n v="132.80000000000001"/>
    <x v="3"/>
    <s v="Kurumsal"/>
    <x v="1"/>
    <x v="0"/>
  </r>
  <r>
    <n v="550"/>
    <x v="3"/>
    <x v="8"/>
    <x v="0"/>
    <x v="0"/>
    <n v="510.45"/>
    <x v="1"/>
    <n v="1385"/>
    <x v="0"/>
    <s v="Bireysel"/>
    <x v="0"/>
    <x v="0"/>
  </r>
  <r>
    <n v="551"/>
    <x v="6"/>
    <x v="0"/>
    <x v="2"/>
    <x v="2"/>
    <n v="1975.38"/>
    <x v="3"/>
    <n v="1810.3"/>
    <x v="1"/>
    <s v="Bireysel"/>
    <x v="0"/>
    <x v="0"/>
  </r>
  <r>
    <n v="552"/>
    <x v="5"/>
    <x v="4"/>
    <x v="0"/>
    <x v="0"/>
    <n v="586.53"/>
    <x v="1"/>
    <n v="1682.7"/>
    <x v="1"/>
    <s v="Bireysel"/>
    <x v="0"/>
    <x v="0"/>
  </r>
  <r>
    <n v="553"/>
    <x v="2"/>
    <x v="6"/>
    <x v="0"/>
    <x v="0"/>
    <n v="1542.63"/>
    <x v="3"/>
    <n v="298.39999999999998"/>
    <x v="3"/>
    <s v="Kurumsal"/>
    <x v="1"/>
    <x v="0"/>
  </r>
  <r>
    <n v="554"/>
    <x v="8"/>
    <x v="9"/>
    <x v="2"/>
    <x v="2"/>
    <n v="857.85"/>
    <x v="1"/>
    <n v="296.2"/>
    <x v="3"/>
    <s v="Bireysel"/>
    <x v="0"/>
    <x v="0"/>
  </r>
  <r>
    <n v="555"/>
    <x v="6"/>
    <x v="8"/>
    <x v="0"/>
    <x v="0"/>
    <n v="41.64"/>
    <x v="2"/>
    <n v="1636.2"/>
    <x v="1"/>
    <s v="Bireysel"/>
    <x v="0"/>
    <x v="1"/>
  </r>
  <r>
    <n v="556"/>
    <x v="1"/>
    <x v="0"/>
    <x v="1"/>
    <x v="1"/>
    <n v="1600.44"/>
    <x v="3"/>
    <n v="1852.3"/>
    <x v="1"/>
    <s v="Kurumsal"/>
    <x v="1"/>
    <x v="0"/>
  </r>
  <r>
    <n v="557"/>
    <x v="8"/>
    <x v="5"/>
    <x v="2"/>
    <x v="2"/>
    <n v="670.55"/>
    <x v="1"/>
    <n v="948.3"/>
    <x v="2"/>
    <s v="Kurumsal"/>
    <x v="1"/>
    <x v="0"/>
  </r>
  <r>
    <n v="558"/>
    <x v="0"/>
    <x v="1"/>
    <x v="2"/>
    <x v="2"/>
    <n v="1731.06"/>
    <x v="3"/>
    <n v="1023"/>
    <x v="0"/>
    <s v="Bireysel"/>
    <x v="0"/>
    <x v="0"/>
  </r>
  <r>
    <n v="559"/>
    <x v="9"/>
    <x v="9"/>
    <x v="1"/>
    <x v="1"/>
    <n v="1830.94"/>
    <x v="3"/>
    <n v="670.6"/>
    <x v="2"/>
    <s v="Bireysel"/>
    <x v="0"/>
    <x v="0"/>
  </r>
  <r>
    <n v="560"/>
    <x v="1"/>
    <x v="1"/>
    <x v="0"/>
    <x v="0"/>
    <n v="1720.35"/>
    <x v="3"/>
    <n v="1793.8"/>
    <x v="1"/>
    <s v="Bireysel"/>
    <x v="0"/>
    <x v="0"/>
  </r>
  <r>
    <n v="561"/>
    <x v="1"/>
    <x v="5"/>
    <x v="0"/>
    <x v="0"/>
    <n v="74.84"/>
    <x v="2"/>
    <n v="1307.5999999999999"/>
    <x v="0"/>
    <s v="Kurumsal"/>
    <x v="1"/>
    <x v="0"/>
  </r>
  <r>
    <n v="562"/>
    <x v="6"/>
    <x v="0"/>
    <x v="1"/>
    <x v="1"/>
    <n v="1575.81"/>
    <x v="3"/>
    <n v="612.1"/>
    <x v="2"/>
    <s v="Bireysel"/>
    <x v="0"/>
    <x v="1"/>
  </r>
  <r>
    <n v="563"/>
    <x v="5"/>
    <x v="3"/>
    <x v="1"/>
    <x v="1"/>
    <n v="825.62"/>
    <x v="1"/>
    <n v="632.6"/>
    <x v="2"/>
    <s v="Bireysel"/>
    <x v="0"/>
    <x v="0"/>
  </r>
  <r>
    <n v="564"/>
    <x v="6"/>
    <x v="1"/>
    <x v="0"/>
    <x v="0"/>
    <n v="1748.08"/>
    <x v="3"/>
    <n v="1787.8"/>
    <x v="1"/>
    <s v="Kurumsal"/>
    <x v="1"/>
    <x v="0"/>
  </r>
  <r>
    <n v="565"/>
    <x v="0"/>
    <x v="9"/>
    <x v="0"/>
    <x v="0"/>
    <n v="1277.72"/>
    <x v="0"/>
    <n v="76.599999999999994"/>
    <x v="3"/>
    <s v="Bireysel"/>
    <x v="0"/>
    <x v="0"/>
  </r>
  <r>
    <n v="566"/>
    <x v="4"/>
    <x v="2"/>
    <x v="0"/>
    <x v="0"/>
    <n v="1668.12"/>
    <x v="3"/>
    <n v="679.3"/>
    <x v="2"/>
    <s v="Bireysel"/>
    <x v="0"/>
    <x v="0"/>
  </r>
  <r>
    <n v="567"/>
    <x v="4"/>
    <x v="7"/>
    <x v="0"/>
    <x v="0"/>
    <n v="1001.37"/>
    <x v="0"/>
    <n v="1131"/>
    <x v="0"/>
    <s v="Bireysel"/>
    <x v="0"/>
    <x v="0"/>
  </r>
  <r>
    <n v="568"/>
    <x v="5"/>
    <x v="4"/>
    <x v="1"/>
    <x v="1"/>
    <n v="1072.3800000000001"/>
    <x v="0"/>
    <n v="339"/>
    <x v="3"/>
    <s v="Bireysel"/>
    <x v="0"/>
    <x v="0"/>
  </r>
  <r>
    <n v="569"/>
    <x v="0"/>
    <x v="3"/>
    <x v="0"/>
    <x v="0"/>
    <n v="293.05"/>
    <x v="2"/>
    <n v="229.6"/>
    <x v="3"/>
    <s v="Bireysel"/>
    <x v="0"/>
    <x v="0"/>
  </r>
  <r>
    <n v="570"/>
    <x v="5"/>
    <x v="1"/>
    <x v="2"/>
    <x v="2"/>
    <n v="1569.05"/>
    <x v="3"/>
    <n v="1639.8"/>
    <x v="1"/>
    <s v="Bireysel"/>
    <x v="0"/>
    <x v="0"/>
  </r>
  <r>
    <n v="571"/>
    <x v="7"/>
    <x v="4"/>
    <x v="1"/>
    <x v="1"/>
    <n v="841.68"/>
    <x v="1"/>
    <n v="1794.1"/>
    <x v="1"/>
    <s v="Bireysel"/>
    <x v="0"/>
    <x v="1"/>
  </r>
  <r>
    <n v="572"/>
    <x v="4"/>
    <x v="8"/>
    <x v="0"/>
    <x v="0"/>
    <n v="1002.66"/>
    <x v="0"/>
    <n v="1656"/>
    <x v="1"/>
    <s v="Bireysel"/>
    <x v="0"/>
    <x v="0"/>
  </r>
  <r>
    <n v="573"/>
    <x v="1"/>
    <x v="1"/>
    <x v="1"/>
    <x v="1"/>
    <n v="1571.27"/>
    <x v="3"/>
    <n v="1802.6"/>
    <x v="1"/>
    <s v="Bireysel"/>
    <x v="0"/>
    <x v="0"/>
  </r>
  <r>
    <n v="574"/>
    <x v="2"/>
    <x v="5"/>
    <x v="0"/>
    <x v="0"/>
    <n v="119.97"/>
    <x v="2"/>
    <n v="1128.5999999999999"/>
    <x v="0"/>
    <s v="Kurumsal"/>
    <x v="1"/>
    <x v="1"/>
  </r>
  <r>
    <n v="575"/>
    <x v="9"/>
    <x v="7"/>
    <x v="0"/>
    <x v="0"/>
    <n v="406.19"/>
    <x v="2"/>
    <n v="1633.9"/>
    <x v="1"/>
    <s v="Kurumsal"/>
    <x v="1"/>
    <x v="0"/>
  </r>
  <r>
    <n v="576"/>
    <x v="0"/>
    <x v="0"/>
    <x v="1"/>
    <x v="1"/>
    <n v="1182.51"/>
    <x v="0"/>
    <n v="798.9"/>
    <x v="2"/>
    <s v="Bireysel"/>
    <x v="0"/>
    <x v="0"/>
  </r>
  <r>
    <n v="577"/>
    <x v="8"/>
    <x v="2"/>
    <x v="1"/>
    <x v="1"/>
    <n v="818.23"/>
    <x v="1"/>
    <n v="1349.2"/>
    <x v="0"/>
    <s v="Bireysel"/>
    <x v="0"/>
    <x v="1"/>
  </r>
  <r>
    <n v="578"/>
    <x v="5"/>
    <x v="2"/>
    <x v="1"/>
    <x v="1"/>
    <n v="94.17"/>
    <x v="2"/>
    <n v="1978.2"/>
    <x v="1"/>
    <s v="Bireysel"/>
    <x v="0"/>
    <x v="0"/>
  </r>
  <r>
    <n v="579"/>
    <x v="9"/>
    <x v="1"/>
    <x v="0"/>
    <x v="0"/>
    <n v="61.48"/>
    <x v="2"/>
    <n v="490.2"/>
    <x v="3"/>
    <s v="Kurumsal"/>
    <x v="1"/>
    <x v="0"/>
  </r>
  <r>
    <n v="580"/>
    <x v="8"/>
    <x v="6"/>
    <x v="0"/>
    <x v="0"/>
    <n v="424.01"/>
    <x v="2"/>
    <n v="810.3"/>
    <x v="2"/>
    <s v="Bireysel"/>
    <x v="0"/>
    <x v="0"/>
  </r>
  <r>
    <n v="581"/>
    <x v="9"/>
    <x v="9"/>
    <x v="1"/>
    <x v="1"/>
    <n v="565.66999999999996"/>
    <x v="1"/>
    <n v="986.1"/>
    <x v="2"/>
    <s v="Kurumsal"/>
    <x v="1"/>
    <x v="0"/>
  </r>
  <r>
    <n v="582"/>
    <x v="2"/>
    <x v="6"/>
    <x v="0"/>
    <x v="0"/>
    <n v="1427.36"/>
    <x v="0"/>
    <n v="319.10000000000002"/>
    <x v="3"/>
    <s v="Bireysel"/>
    <x v="0"/>
    <x v="0"/>
  </r>
  <r>
    <n v="583"/>
    <x v="8"/>
    <x v="6"/>
    <x v="0"/>
    <x v="0"/>
    <n v="27.93"/>
    <x v="2"/>
    <n v="208"/>
    <x v="3"/>
    <s v="Kurumsal"/>
    <x v="1"/>
    <x v="0"/>
  </r>
  <r>
    <n v="584"/>
    <x v="6"/>
    <x v="3"/>
    <x v="0"/>
    <x v="0"/>
    <n v="820.51"/>
    <x v="1"/>
    <n v="1668"/>
    <x v="1"/>
    <s v="Kurumsal"/>
    <x v="1"/>
    <x v="0"/>
  </r>
  <r>
    <n v="585"/>
    <x v="3"/>
    <x v="7"/>
    <x v="1"/>
    <x v="1"/>
    <n v="1848.43"/>
    <x v="3"/>
    <n v="1954.7"/>
    <x v="1"/>
    <s v="Kurumsal"/>
    <x v="1"/>
    <x v="0"/>
  </r>
  <r>
    <n v="586"/>
    <x v="6"/>
    <x v="9"/>
    <x v="0"/>
    <x v="0"/>
    <n v="22.82"/>
    <x v="2"/>
    <n v="839.2"/>
    <x v="2"/>
    <s v="Bireysel"/>
    <x v="0"/>
    <x v="0"/>
  </r>
  <r>
    <n v="587"/>
    <x v="4"/>
    <x v="1"/>
    <x v="1"/>
    <x v="1"/>
    <n v="1035.27"/>
    <x v="0"/>
    <n v="220.9"/>
    <x v="3"/>
    <s v="Bireysel"/>
    <x v="0"/>
    <x v="0"/>
  </r>
  <r>
    <n v="588"/>
    <x v="3"/>
    <x v="1"/>
    <x v="2"/>
    <x v="2"/>
    <n v="1574.11"/>
    <x v="3"/>
    <n v="178.3"/>
    <x v="3"/>
    <s v="Bireysel"/>
    <x v="0"/>
    <x v="1"/>
  </r>
  <r>
    <n v="589"/>
    <x v="6"/>
    <x v="0"/>
    <x v="0"/>
    <x v="0"/>
    <n v="1885.35"/>
    <x v="3"/>
    <n v="1788.1"/>
    <x v="1"/>
    <s v="Bireysel"/>
    <x v="0"/>
    <x v="0"/>
  </r>
  <r>
    <n v="590"/>
    <x v="3"/>
    <x v="1"/>
    <x v="0"/>
    <x v="0"/>
    <n v="1494.82"/>
    <x v="0"/>
    <n v="954.4"/>
    <x v="2"/>
    <s v="Bireysel"/>
    <x v="0"/>
    <x v="1"/>
  </r>
  <r>
    <n v="591"/>
    <x v="3"/>
    <x v="5"/>
    <x v="0"/>
    <x v="0"/>
    <n v="1442.53"/>
    <x v="0"/>
    <n v="674.1"/>
    <x v="2"/>
    <s v="Bireysel"/>
    <x v="0"/>
    <x v="0"/>
  </r>
  <r>
    <n v="592"/>
    <x v="1"/>
    <x v="9"/>
    <x v="1"/>
    <x v="1"/>
    <n v="1653.84"/>
    <x v="3"/>
    <n v="979.1"/>
    <x v="2"/>
    <s v="Bireysel"/>
    <x v="0"/>
    <x v="0"/>
  </r>
  <r>
    <n v="593"/>
    <x v="5"/>
    <x v="9"/>
    <x v="0"/>
    <x v="0"/>
    <n v="895.17"/>
    <x v="1"/>
    <n v="670.7"/>
    <x v="2"/>
    <s v="Bireysel"/>
    <x v="0"/>
    <x v="0"/>
  </r>
  <r>
    <n v="594"/>
    <x v="5"/>
    <x v="6"/>
    <x v="0"/>
    <x v="0"/>
    <n v="1612.66"/>
    <x v="3"/>
    <n v="1003.6"/>
    <x v="0"/>
    <s v="Bireysel"/>
    <x v="0"/>
    <x v="0"/>
  </r>
  <r>
    <n v="595"/>
    <x v="1"/>
    <x v="5"/>
    <x v="0"/>
    <x v="0"/>
    <n v="20.89"/>
    <x v="2"/>
    <n v="1726.1"/>
    <x v="1"/>
    <s v="Bireysel"/>
    <x v="0"/>
    <x v="0"/>
  </r>
  <r>
    <n v="596"/>
    <x v="9"/>
    <x v="0"/>
    <x v="1"/>
    <x v="1"/>
    <n v="184.95"/>
    <x v="2"/>
    <n v="1205"/>
    <x v="0"/>
    <s v="Kurumsal"/>
    <x v="1"/>
    <x v="0"/>
  </r>
  <r>
    <n v="597"/>
    <x v="7"/>
    <x v="6"/>
    <x v="0"/>
    <x v="0"/>
    <n v="88.94"/>
    <x v="2"/>
    <n v="1404.6"/>
    <x v="0"/>
    <s v="Bireysel"/>
    <x v="0"/>
    <x v="0"/>
  </r>
  <r>
    <n v="598"/>
    <x v="9"/>
    <x v="4"/>
    <x v="1"/>
    <x v="1"/>
    <n v="1108.99"/>
    <x v="0"/>
    <n v="761.1"/>
    <x v="2"/>
    <s v="Bireysel"/>
    <x v="0"/>
    <x v="0"/>
  </r>
  <r>
    <n v="599"/>
    <x v="8"/>
    <x v="1"/>
    <x v="2"/>
    <x v="2"/>
    <n v="513.49"/>
    <x v="1"/>
    <n v="1490.1"/>
    <x v="0"/>
    <s v="Bireysel"/>
    <x v="0"/>
    <x v="0"/>
  </r>
  <r>
    <n v="600"/>
    <x v="8"/>
    <x v="6"/>
    <x v="0"/>
    <x v="0"/>
    <n v="1486.35"/>
    <x v="0"/>
    <n v="1349.9"/>
    <x v="0"/>
    <s v="Kurumsal"/>
    <x v="1"/>
    <x v="0"/>
  </r>
  <r>
    <n v="601"/>
    <x v="3"/>
    <x v="8"/>
    <x v="1"/>
    <x v="1"/>
    <n v="157.88999999999999"/>
    <x v="2"/>
    <n v="283.10000000000002"/>
    <x v="3"/>
    <s v="Bireysel"/>
    <x v="0"/>
    <x v="0"/>
  </r>
  <r>
    <n v="602"/>
    <x v="6"/>
    <x v="1"/>
    <x v="0"/>
    <x v="0"/>
    <n v="1745.91"/>
    <x v="3"/>
    <n v="1166.7"/>
    <x v="0"/>
    <s v="Bireysel"/>
    <x v="0"/>
    <x v="0"/>
  </r>
  <r>
    <n v="603"/>
    <x v="6"/>
    <x v="5"/>
    <x v="1"/>
    <x v="1"/>
    <n v="1657.09"/>
    <x v="3"/>
    <n v="550.6"/>
    <x v="2"/>
    <s v="Bireysel"/>
    <x v="0"/>
    <x v="0"/>
  </r>
  <r>
    <n v="604"/>
    <x v="5"/>
    <x v="0"/>
    <x v="1"/>
    <x v="1"/>
    <n v="436.04"/>
    <x v="2"/>
    <n v="1618"/>
    <x v="1"/>
    <s v="Bireysel"/>
    <x v="0"/>
    <x v="0"/>
  </r>
  <r>
    <n v="605"/>
    <x v="0"/>
    <x v="5"/>
    <x v="1"/>
    <x v="1"/>
    <n v="161.96"/>
    <x v="2"/>
    <n v="880.6"/>
    <x v="2"/>
    <s v="Bireysel"/>
    <x v="0"/>
    <x v="0"/>
  </r>
  <r>
    <n v="606"/>
    <x v="9"/>
    <x v="6"/>
    <x v="0"/>
    <x v="0"/>
    <n v="1573.78"/>
    <x v="3"/>
    <n v="1989.6"/>
    <x v="1"/>
    <s v="Kurumsal"/>
    <x v="1"/>
    <x v="1"/>
  </r>
  <r>
    <n v="607"/>
    <x v="4"/>
    <x v="6"/>
    <x v="0"/>
    <x v="0"/>
    <n v="1266.27"/>
    <x v="0"/>
    <n v="230.4"/>
    <x v="3"/>
    <s v="Kurumsal"/>
    <x v="1"/>
    <x v="0"/>
  </r>
  <r>
    <n v="608"/>
    <x v="2"/>
    <x v="2"/>
    <x v="0"/>
    <x v="0"/>
    <n v="750.17"/>
    <x v="1"/>
    <n v="1571.7"/>
    <x v="1"/>
    <s v="Bireysel"/>
    <x v="0"/>
    <x v="0"/>
  </r>
  <r>
    <n v="609"/>
    <x v="6"/>
    <x v="0"/>
    <x v="0"/>
    <x v="0"/>
    <n v="546.64"/>
    <x v="1"/>
    <n v="1363.7"/>
    <x v="0"/>
    <s v="Bireysel"/>
    <x v="0"/>
    <x v="0"/>
  </r>
  <r>
    <n v="610"/>
    <x v="2"/>
    <x v="4"/>
    <x v="0"/>
    <x v="0"/>
    <n v="467.41"/>
    <x v="2"/>
    <n v="1546.6"/>
    <x v="1"/>
    <s v="Bireysel"/>
    <x v="0"/>
    <x v="1"/>
  </r>
  <r>
    <n v="611"/>
    <x v="3"/>
    <x v="1"/>
    <x v="0"/>
    <x v="0"/>
    <n v="640.62"/>
    <x v="1"/>
    <n v="649.70000000000005"/>
    <x v="2"/>
    <s v="Bireysel"/>
    <x v="0"/>
    <x v="0"/>
  </r>
  <r>
    <n v="612"/>
    <x v="2"/>
    <x v="9"/>
    <x v="0"/>
    <x v="0"/>
    <n v="180.76"/>
    <x v="2"/>
    <n v="1009.5"/>
    <x v="0"/>
    <s v="Bireysel"/>
    <x v="0"/>
    <x v="1"/>
  </r>
  <r>
    <n v="613"/>
    <x v="4"/>
    <x v="0"/>
    <x v="0"/>
    <x v="0"/>
    <n v="159.88999999999999"/>
    <x v="2"/>
    <n v="1603.2"/>
    <x v="1"/>
    <s v="Bireysel"/>
    <x v="0"/>
    <x v="0"/>
  </r>
  <r>
    <n v="614"/>
    <x v="1"/>
    <x v="9"/>
    <x v="1"/>
    <x v="1"/>
    <n v="165.86"/>
    <x v="2"/>
    <n v="503.5"/>
    <x v="2"/>
    <s v="Kurumsal"/>
    <x v="1"/>
    <x v="0"/>
  </r>
  <r>
    <n v="615"/>
    <x v="4"/>
    <x v="0"/>
    <x v="0"/>
    <x v="0"/>
    <n v="701.04"/>
    <x v="1"/>
    <n v="490.8"/>
    <x v="3"/>
    <s v="Kurumsal"/>
    <x v="1"/>
    <x v="1"/>
  </r>
  <r>
    <n v="616"/>
    <x v="2"/>
    <x v="0"/>
    <x v="0"/>
    <x v="0"/>
    <n v="1045.5899999999999"/>
    <x v="0"/>
    <n v="1124.5"/>
    <x v="0"/>
    <s v="Bireysel"/>
    <x v="0"/>
    <x v="0"/>
  </r>
  <r>
    <n v="617"/>
    <x v="4"/>
    <x v="5"/>
    <x v="0"/>
    <x v="0"/>
    <n v="159"/>
    <x v="2"/>
    <n v="1070.9000000000001"/>
    <x v="0"/>
    <s v="Bireysel"/>
    <x v="0"/>
    <x v="0"/>
  </r>
  <r>
    <n v="618"/>
    <x v="7"/>
    <x v="0"/>
    <x v="0"/>
    <x v="0"/>
    <n v="1769.33"/>
    <x v="3"/>
    <n v="600.4"/>
    <x v="2"/>
    <s v="Bireysel"/>
    <x v="0"/>
    <x v="0"/>
  </r>
  <r>
    <n v="619"/>
    <x v="3"/>
    <x v="2"/>
    <x v="2"/>
    <x v="2"/>
    <n v="692.84"/>
    <x v="1"/>
    <n v="631.20000000000005"/>
    <x v="2"/>
    <s v="Bireysel"/>
    <x v="0"/>
    <x v="1"/>
  </r>
  <r>
    <n v="620"/>
    <x v="9"/>
    <x v="4"/>
    <x v="0"/>
    <x v="0"/>
    <n v="926.38"/>
    <x v="1"/>
    <n v="591.79999999999995"/>
    <x v="2"/>
    <s v="Bireysel"/>
    <x v="0"/>
    <x v="0"/>
  </r>
  <r>
    <n v="621"/>
    <x v="1"/>
    <x v="6"/>
    <x v="1"/>
    <x v="1"/>
    <n v="831.96"/>
    <x v="1"/>
    <n v="1554.4"/>
    <x v="1"/>
    <s v="Bireysel"/>
    <x v="0"/>
    <x v="0"/>
  </r>
  <r>
    <n v="622"/>
    <x v="6"/>
    <x v="7"/>
    <x v="2"/>
    <x v="2"/>
    <n v="31.44"/>
    <x v="2"/>
    <n v="1321.2"/>
    <x v="0"/>
    <s v="Kurumsal"/>
    <x v="1"/>
    <x v="0"/>
  </r>
  <r>
    <n v="623"/>
    <x v="8"/>
    <x v="9"/>
    <x v="1"/>
    <x v="1"/>
    <n v="595.41"/>
    <x v="1"/>
    <n v="1673.2"/>
    <x v="1"/>
    <s v="Kurumsal"/>
    <x v="1"/>
    <x v="0"/>
  </r>
  <r>
    <n v="624"/>
    <x v="9"/>
    <x v="6"/>
    <x v="1"/>
    <x v="1"/>
    <n v="921.08"/>
    <x v="1"/>
    <n v="1952.2"/>
    <x v="1"/>
    <s v="Bireysel"/>
    <x v="0"/>
    <x v="1"/>
  </r>
  <r>
    <n v="625"/>
    <x v="8"/>
    <x v="7"/>
    <x v="1"/>
    <x v="1"/>
    <n v="825.13"/>
    <x v="1"/>
    <n v="974.6"/>
    <x v="2"/>
    <s v="Bireysel"/>
    <x v="0"/>
    <x v="0"/>
  </r>
  <r>
    <n v="626"/>
    <x v="3"/>
    <x v="4"/>
    <x v="2"/>
    <x v="2"/>
    <n v="1445.25"/>
    <x v="0"/>
    <n v="180.1"/>
    <x v="3"/>
    <s v="Bireysel"/>
    <x v="0"/>
    <x v="0"/>
  </r>
  <r>
    <n v="627"/>
    <x v="1"/>
    <x v="4"/>
    <x v="1"/>
    <x v="1"/>
    <n v="772.68"/>
    <x v="1"/>
    <n v="143.80000000000001"/>
    <x v="3"/>
    <s v="Bireysel"/>
    <x v="0"/>
    <x v="1"/>
  </r>
  <r>
    <n v="628"/>
    <x v="5"/>
    <x v="9"/>
    <x v="0"/>
    <x v="0"/>
    <n v="981.31"/>
    <x v="1"/>
    <n v="626.5"/>
    <x v="2"/>
    <s v="Bireysel"/>
    <x v="0"/>
    <x v="0"/>
  </r>
  <r>
    <n v="629"/>
    <x v="6"/>
    <x v="9"/>
    <x v="1"/>
    <x v="1"/>
    <n v="862.07"/>
    <x v="1"/>
    <n v="1868.5"/>
    <x v="1"/>
    <s v="Bireysel"/>
    <x v="0"/>
    <x v="0"/>
  </r>
  <r>
    <n v="630"/>
    <x v="7"/>
    <x v="4"/>
    <x v="0"/>
    <x v="0"/>
    <n v="1482.55"/>
    <x v="0"/>
    <n v="1070.3"/>
    <x v="0"/>
    <s v="Bireysel"/>
    <x v="0"/>
    <x v="0"/>
  </r>
  <r>
    <n v="631"/>
    <x v="5"/>
    <x v="7"/>
    <x v="1"/>
    <x v="1"/>
    <n v="1726.63"/>
    <x v="3"/>
    <n v="580"/>
    <x v="2"/>
    <s v="Bireysel"/>
    <x v="0"/>
    <x v="0"/>
  </r>
  <r>
    <n v="632"/>
    <x v="3"/>
    <x v="0"/>
    <x v="0"/>
    <x v="0"/>
    <n v="1066.1199999999999"/>
    <x v="0"/>
    <n v="828.4"/>
    <x v="2"/>
    <s v="Kurumsal"/>
    <x v="1"/>
    <x v="0"/>
  </r>
  <r>
    <n v="633"/>
    <x v="9"/>
    <x v="1"/>
    <x v="0"/>
    <x v="0"/>
    <n v="1579.92"/>
    <x v="3"/>
    <n v="1217.3"/>
    <x v="0"/>
    <s v="Bireysel"/>
    <x v="0"/>
    <x v="0"/>
  </r>
  <r>
    <n v="634"/>
    <x v="7"/>
    <x v="8"/>
    <x v="0"/>
    <x v="0"/>
    <n v="597.09"/>
    <x v="1"/>
    <n v="1323.3"/>
    <x v="0"/>
    <s v="Bireysel"/>
    <x v="0"/>
    <x v="0"/>
  </r>
  <r>
    <n v="635"/>
    <x v="4"/>
    <x v="6"/>
    <x v="0"/>
    <x v="0"/>
    <n v="1085.03"/>
    <x v="0"/>
    <n v="350.1"/>
    <x v="3"/>
    <s v="Bireysel"/>
    <x v="0"/>
    <x v="0"/>
  </r>
  <r>
    <n v="636"/>
    <x v="2"/>
    <x v="5"/>
    <x v="0"/>
    <x v="0"/>
    <n v="693.73"/>
    <x v="1"/>
    <n v="1955.2"/>
    <x v="1"/>
    <s v="Bireysel"/>
    <x v="0"/>
    <x v="0"/>
  </r>
  <r>
    <n v="637"/>
    <x v="7"/>
    <x v="6"/>
    <x v="0"/>
    <x v="0"/>
    <n v="831.33"/>
    <x v="1"/>
    <n v="1112.3"/>
    <x v="0"/>
    <s v="Bireysel"/>
    <x v="0"/>
    <x v="0"/>
  </r>
  <r>
    <n v="638"/>
    <x v="3"/>
    <x v="5"/>
    <x v="0"/>
    <x v="0"/>
    <n v="1466.17"/>
    <x v="0"/>
    <n v="314.60000000000002"/>
    <x v="3"/>
    <s v="Kurumsal"/>
    <x v="1"/>
    <x v="0"/>
  </r>
  <r>
    <n v="639"/>
    <x v="0"/>
    <x v="9"/>
    <x v="0"/>
    <x v="0"/>
    <n v="1763.92"/>
    <x v="3"/>
    <n v="1792.6"/>
    <x v="1"/>
    <s v="Kurumsal"/>
    <x v="1"/>
    <x v="0"/>
  </r>
  <r>
    <n v="640"/>
    <x v="2"/>
    <x v="5"/>
    <x v="1"/>
    <x v="1"/>
    <n v="247.38"/>
    <x v="2"/>
    <n v="195.5"/>
    <x v="3"/>
    <s v="Bireysel"/>
    <x v="0"/>
    <x v="1"/>
  </r>
  <r>
    <n v="641"/>
    <x v="8"/>
    <x v="9"/>
    <x v="0"/>
    <x v="0"/>
    <n v="1271.1099999999999"/>
    <x v="0"/>
    <n v="1820.1"/>
    <x v="1"/>
    <s v="Bireysel"/>
    <x v="0"/>
    <x v="0"/>
  </r>
  <r>
    <n v="642"/>
    <x v="6"/>
    <x v="1"/>
    <x v="0"/>
    <x v="0"/>
    <n v="1166.3800000000001"/>
    <x v="0"/>
    <n v="1993.3"/>
    <x v="1"/>
    <s v="Bireysel"/>
    <x v="0"/>
    <x v="0"/>
  </r>
  <r>
    <n v="643"/>
    <x v="8"/>
    <x v="1"/>
    <x v="1"/>
    <x v="1"/>
    <n v="241.24"/>
    <x v="2"/>
    <n v="1415.8"/>
    <x v="0"/>
    <s v="Bireysel"/>
    <x v="0"/>
    <x v="0"/>
  </r>
  <r>
    <n v="644"/>
    <x v="7"/>
    <x v="6"/>
    <x v="0"/>
    <x v="0"/>
    <n v="427.73"/>
    <x v="2"/>
    <n v="1552.4"/>
    <x v="1"/>
    <s v="Kurumsal"/>
    <x v="1"/>
    <x v="0"/>
  </r>
  <r>
    <n v="645"/>
    <x v="8"/>
    <x v="2"/>
    <x v="0"/>
    <x v="0"/>
    <n v="625.45000000000005"/>
    <x v="1"/>
    <n v="707.7"/>
    <x v="2"/>
    <s v="Bireysel"/>
    <x v="0"/>
    <x v="0"/>
  </r>
  <r>
    <n v="646"/>
    <x v="3"/>
    <x v="7"/>
    <x v="1"/>
    <x v="1"/>
    <n v="338.03"/>
    <x v="2"/>
    <n v="1886.1"/>
    <x v="1"/>
    <s v="Bireysel"/>
    <x v="0"/>
    <x v="0"/>
  </r>
  <r>
    <n v="647"/>
    <x v="4"/>
    <x v="2"/>
    <x v="1"/>
    <x v="1"/>
    <n v="491.24"/>
    <x v="2"/>
    <n v="1082.9000000000001"/>
    <x v="0"/>
    <s v="Bireysel"/>
    <x v="0"/>
    <x v="0"/>
  </r>
  <r>
    <n v="648"/>
    <x v="9"/>
    <x v="2"/>
    <x v="0"/>
    <x v="0"/>
    <n v="538.86"/>
    <x v="1"/>
    <n v="1478.2"/>
    <x v="0"/>
    <s v="Bireysel"/>
    <x v="0"/>
    <x v="1"/>
  </r>
  <r>
    <n v="649"/>
    <x v="6"/>
    <x v="8"/>
    <x v="0"/>
    <x v="0"/>
    <n v="674.67"/>
    <x v="1"/>
    <n v="1852"/>
    <x v="1"/>
    <s v="Kurumsal"/>
    <x v="1"/>
    <x v="0"/>
  </r>
  <r>
    <n v="650"/>
    <x v="8"/>
    <x v="4"/>
    <x v="2"/>
    <x v="2"/>
    <n v="1500.03"/>
    <x v="3"/>
    <n v="1951.6"/>
    <x v="1"/>
    <s v="Bireysel"/>
    <x v="0"/>
    <x v="0"/>
  </r>
  <r>
    <n v="651"/>
    <x v="8"/>
    <x v="6"/>
    <x v="1"/>
    <x v="1"/>
    <n v="1145.96"/>
    <x v="0"/>
    <n v="1674.7"/>
    <x v="1"/>
    <s v="Kurumsal"/>
    <x v="1"/>
    <x v="0"/>
  </r>
  <r>
    <n v="652"/>
    <x v="7"/>
    <x v="4"/>
    <x v="0"/>
    <x v="0"/>
    <n v="1972.56"/>
    <x v="3"/>
    <n v="640.9"/>
    <x v="2"/>
    <s v="Bireysel"/>
    <x v="0"/>
    <x v="0"/>
  </r>
  <r>
    <n v="653"/>
    <x v="9"/>
    <x v="8"/>
    <x v="1"/>
    <x v="1"/>
    <n v="83.24"/>
    <x v="2"/>
    <n v="1934.8"/>
    <x v="1"/>
    <s v="Kurumsal"/>
    <x v="1"/>
    <x v="0"/>
  </r>
  <r>
    <n v="654"/>
    <x v="5"/>
    <x v="5"/>
    <x v="0"/>
    <x v="0"/>
    <n v="1508.96"/>
    <x v="3"/>
    <n v="1274.8"/>
    <x v="0"/>
    <s v="Bireysel"/>
    <x v="0"/>
    <x v="0"/>
  </r>
  <r>
    <n v="655"/>
    <x v="8"/>
    <x v="4"/>
    <x v="0"/>
    <x v="0"/>
    <n v="1743.58"/>
    <x v="3"/>
    <n v="1864.8"/>
    <x v="1"/>
    <s v="Bireysel"/>
    <x v="0"/>
    <x v="0"/>
  </r>
  <r>
    <n v="656"/>
    <x v="3"/>
    <x v="9"/>
    <x v="0"/>
    <x v="0"/>
    <n v="1359.56"/>
    <x v="0"/>
    <n v="1368.4"/>
    <x v="0"/>
    <s v="Kurumsal"/>
    <x v="1"/>
    <x v="0"/>
  </r>
  <r>
    <n v="657"/>
    <x v="0"/>
    <x v="6"/>
    <x v="1"/>
    <x v="1"/>
    <n v="826.67"/>
    <x v="1"/>
    <n v="649.1"/>
    <x v="2"/>
    <s v="Bireysel"/>
    <x v="0"/>
    <x v="0"/>
  </r>
  <r>
    <n v="658"/>
    <x v="6"/>
    <x v="7"/>
    <x v="0"/>
    <x v="0"/>
    <n v="1508.42"/>
    <x v="3"/>
    <n v="771.5"/>
    <x v="2"/>
    <s v="Bireysel"/>
    <x v="0"/>
    <x v="0"/>
  </r>
  <r>
    <n v="659"/>
    <x v="8"/>
    <x v="5"/>
    <x v="1"/>
    <x v="1"/>
    <n v="411.32"/>
    <x v="2"/>
    <n v="1123.4000000000001"/>
    <x v="0"/>
    <s v="Bireysel"/>
    <x v="0"/>
    <x v="0"/>
  </r>
  <r>
    <n v="660"/>
    <x v="3"/>
    <x v="8"/>
    <x v="0"/>
    <x v="0"/>
    <n v="658.47"/>
    <x v="1"/>
    <n v="1590.5"/>
    <x v="1"/>
    <s v="Kurumsal"/>
    <x v="1"/>
    <x v="0"/>
  </r>
  <r>
    <n v="661"/>
    <x v="3"/>
    <x v="4"/>
    <x v="0"/>
    <x v="0"/>
    <n v="1095.6400000000001"/>
    <x v="0"/>
    <n v="670.1"/>
    <x v="2"/>
    <s v="Bireysel"/>
    <x v="0"/>
    <x v="0"/>
  </r>
  <r>
    <n v="662"/>
    <x v="6"/>
    <x v="8"/>
    <x v="0"/>
    <x v="0"/>
    <n v="1152.94"/>
    <x v="0"/>
    <n v="1180.5"/>
    <x v="0"/>
    <s v="Kurumsal"/>
    <x v="1"/>
    <x v="0"/>
  </r>
  <r>
    <n v="663"/>
    <x v="5"/>
    <x v="7"/>
    <x v="1"/>
    <x v="1"/>
    <n v="49.17"/>
    <x v="2"/>
    <n v="724"/>
    <x v="2"/>
    <s v="Bireysel"/>
    <x v="0"/>
    <x v="0"/>
  </r>
  <r>
    <n v="664"/>
    <x v="3"/>
    <x v="2"/>
    <x v="0"/>
    <x v="0"/>
    <n v="189.05"/>
    <x v="2"/>
    <n v="1640.8"/>
    <x v="1"/>
    <s v="Bireysel"/>
    <x v="0"/>
    <x v="1"/>
  </r>
  <r>
    <n v="665"/>
    <x v="0"/>
    <x v="1"/>
    <x v="0"/>
    <x v="0"/>
    <n v="1394.77"/>
    <x v="0"/>
    <n v="960.1"/>
    <x v="2"/>
    <s v="Kurumsal"/>
    <x v="1"/>
    <x v="0"/>
  </r>
  <r>
    <n v="666"/>
    <x v="3"/>
    <x v="7"/>
    <x v="1"/>
    <x v="1"/>
    <n v="993.93"/>
    <x v="1"/>
    <n v="199.6"/>
    <x v="3"/>
    <s v="Bireysel"/>
    <x v="0"/>
    <x v="0"/>
  </r>
  <r>
    <n v="667"/>
    <x v="3"/>
    <x v="6"/>
    <x v="0"/>
    <x v="0"/>
    <n v="1866.59"/>
    <x v="3"/>
    <n v="373.8"/>
    <x v="3"/>
    <s v="Kurumsal"/>
    <x v="1"/>
    <x v="0"/>
  </r>
  <r>
    <n v="668"/>
    <x v="3"/>
    <x v="7"/>
    <x v="2"/>
    <x v="2"/>
    <n v="88.1"/>
    <x v="2"/>
    <n v="169.2"/>
    <x v="3"/>
    <s v="Kurumsal"/>
    <x v="1"/>
    <x v="0"/>
  </r>
  <r>
    <n v="669"/>
    <x v="4"/>
    <x v="8"/>
    <x v="0"/>
    <x v="0"/>
    <n v="1960.97"/>
    <x v="3"/>
    <n v="1023.6"/>
    <x v="0"/>
    <s v="Bireysel"/>
    <x v="0"/>
    <x v="0"/>
  </r>
  <r>
    <n v="670"/>
    <x v="4"/>
    <x v="9"/>
    <x v="1"/>
    <x v="1"/>
    <n v="1027.01"/>
    <x v="0"/>
    <n v="257.39999999999998"/>
    <x v="3"/>
    <s v="Bireysel"/>
    <x v="0"/>
    <x v="1"/>
  </r>
  <r>
    <n v="671"/>
    <x v="5"/>
    <x v="6"/>
    <x v="0"/>
    <x v="0"/>
    <n v="23.3"/>
    <x v="2"/>
    <n v="272.60000000000002"/>
    <x v="3"/>
    <s v="Bireysel"/>
    <x v="0"/>
    <x v="0"/>
  </r>
  <r>
    <n v="672"/>
    <x v="8"/>
    <x v="9"/>
    <x v="2"/>
    <x v="2"/>
    <n v="1530.78"/>
    <x v="3"/>
    <n v="1885"/>
    <x v="1"/>
    <s v="Kurumsal"/>
    <x v="1"/>
    <x v="1"/>
  </r>
  <r>
    <n v="673"/>
    <x v="3"/>
    <x v="8"/>
    <x v="0"/>
    <x v="0"/>
    <n v="135.94"/>
    <x v="2"/>
    <n v="1751.7"/>
    <x v="1"/>
    <s v="Kurumsal"/>
    <x v="1"/>
    <x v="1"/>
  </r>
  <r>
    <n v="674"/>
    <x v="9"/>
    <x v="6"/>
    <x v="0"/>
    <x v="0"/>
    <n v="1547.11"/>
    <x v="3"/>
    <n v="931.6"/>
    <x v="2"/>
    <s v="Bireysel"/>
    <x v="0"/>
    <x v="0"/>
  </r>
  <r>
    <n v="675"/>
    <x v="8"/>
    <x v="3"/>
    <x v="0"/>
    <x v="0"/>
    <n v="1903.13"/>
    <x v="3"/>
    <n v="1972.3"/>
    <x v="1"/>
    <s v="Bireysel"/>
    <x v="0"/>
    <x v="0"/>
  </r>
  <r>
    <n v="676"/>
    <x v="5"/>
    <x v="1"/>
    <x v="0"/>
    <x v="0"/>
    <n v="155.41"/>
    <x v="2"/>
    <n v="50.4"/>
    <x v="3"/>
    <s v="Bireysel"/>
    <x v="0"/>
    <x v="0"/>
  </r>
  <r>
    <n v="677"/>
    <x v="1"/>
    <x v="5"/>
    <x v="0"/>
    <x v="0"/>
    <n v="1224.6199999999999"/>
    <x v="0"/>
    <n v="1247.3"/>
    <x v="0"/>
    <s v="Kurumsal"/>
    <x v="1"/>
    <x v="0"/>
  </r>
  <r>
    <n v="678"/>
    <x v="8"/>
    <x v="8"/>
    <x v="2"/>
    <x v="2"/>
    <n v="1715.33"/>
    <x v="3"/>
    <n v="1252"/>
    <x v="0"/>
    <s v="Bireysel"/>
    <x v="0"/>
    <x v="1"/>
  </r>
  <r>
    <n v="679"/>
    <x v="8"/>
    <x v="4"/>
    <x v="0"/>
    <x v="0"/>
    <n v="1348.13"/>
    <x v="0"/>
    <n v="942"/>
    <x v="2"/>
    <s v="Bireysel"/>
    <x v="0"/>
    <x v="0"/>
  </r>
  <r>
    <n v="680"/>
    <x v="2"/>
    <x v="8"/>
    <x v="1"/>
    <x v="1"/>
    <n v="81.92"/>
    <x v="2"/>
    <n v="824"/>
    <x v="2"/>
    <s v="Bireysel"/>
    <x v="0"/>
    <x v="1"/>
  </r>
  <r>
    <n v="681"/>
    <x v="7"/>
    <x v="8"/>
    <x v="1"/>
    <x v="1"/>
    <n v="1771.81"/>
    <x v="3"/>
    <n v="938"/>
    <x v="2"/>
    <s v="Kurumsal"/>
    <x v="1"/>
    <x v="0"/>
  </r>
  <r>
    <n v="682"/>
    <x v="2"/>
    <x v="6"/>
    <x v="1"/>
    <x v="1"/>
    <n v="447.69"/>
    <x v="2"/>
    <n v="859.2"/>
    <x v="2"/>
    <s v="Bireysel"/>
    <x v="0"/>
    <x v="1"/>
  </r>
  <r>
    <n v="683"/>
    <x v="0"/>
    <x v="0"/>
    <x v="0"/>
    <x v="0"/>
    <n v="1430.71"/>
    <x v="0"/>
    <n v="1474.5"/>
    <x v="0"/>
    <s v="Bireysel"/>
    <x v="0"/>
    <x v="1"/>
  </r>
  <r>
    <n v="684"/>
    <x v="4"/>
    <x v="7"/>
    <x v="0"/>
    <x v="0"/>
    <n v="1763.72"/>
    <x v="3"/>
    <n v="313.89999999999998"/>
    <x v="3"/>
    <s v="Bireysel"/>
    <x v="0"/>
    <x v="0"/>
  </r>
  <r>
    <n v="685"/>
    <x v="4"/>
    <x v="0"/>
    <x v="1"/>
    <x v="1"/>
    <n v="1463.98"/>
    <x v="0"/>
    <n v="435.4"/>
    <x v="3"/>
    <s v="Bireysel"/>
    <x v="0"/>
    <x v="0"/>
  </r>
  <r>
    <n v="686"/>
    <x v="7"/>
    <x v="3"/>
    <x v="2"/>
    <x v="2"/>
    <n v="1396.06"/>
    <x v="0"/>
    <n v="402"/>
    <x v="3"/>
    <s v="Kurumsal"/>
    <x v="1"/>
    <x v="0"/>
  </r>
  <r>
    <n v="687"/>
    <x v="6"/>
    <x v="4"/>
    <x v="0"/>
    <x v="0"/>
    <n v="1506.51"/>
    <x v="3"/>
    <n v="561.79999999999995"/>
    <x v="2"/>
    <s v="Kurumsal"/>
    <x v="1"/>
    <x v="0"/>
  </r>
  <r>
    <n v="688"/>
    <x v="6"/>
    <x v="1"/>
    <x v="0"/>
    <x v="0"/>
    <n v="932.79"/>
    <x v="1"/>
    <n v="1074.3"/>
    <x v="0"/>
    <s v="Bireysel"/>
    <x v="0"/>
    <x v="1"/>
  </r>
  <r>
    <n v="689"/>
    <x v="5"/>
    <x v="2"/>
    <x v="0"/>
    <x v="0"/>
    <n v="1748.97"/>
    <x v="3"/>
    <n v="266.89999999999998"/>
    <x v="3"/>
    <s v="Bireysel"/>
    <x v="0"/>
    <x v="0"/>
  </r>
  <r>
    <n v="690"/>
    <x v="7"/>
    <x v="3"/>
    <x v="2"/>
    <x v="2"/>
    <n v="410.86"/>
    <x v="2"/>
    <n v="1742.9"/>
    <x v="1"/>
    <s v="Bireysel"/>
    <x v="0"/>
    <x v="0"/>
  </r>
  <r>
    <n v="691"/>
    <x v="8"/>
    <x v="2"/>
    <x v="0"/>
    <x v="0"/>
    <n v="259.14"/>
    <x v="2"/>
    <n v="629.9"/>
    <x v="2"/>
    <s v="Bireysel"/>
    <x v="0"/>
    <x v="0"/>
  </r>
  <r>
    <n v="692"/>
    <x v="6"/>
    <x v="2"/>
    <x v="0"/>
    <x v="0"/>
    <n v="574.59"/>
    <x v="1"/>
    <n v="366.9"/>
    <x v="3"/>
    <s v="Kurumsal"/>
    <x v="1"/>
    <x v="0"/>
  </r>
  <r>
    <n v="693"/>
    <x v="3"/>
    <x v="1"/>
    <x v="1"/>
    <x v="1"/>
    <n v="106.55"/>
    <x v="2"/>
    <n v="1367.5"/>
    <x v="0"/>
    <s v="Bireysel"/>
    <x v="0"/>
    <x v="0"/>
  </r>
  <r>
    <n v="694"/>
    <x v="9"/>
    <x v="9"/>
    <x v="0"/>
    <x v="0"/>
    <n v="1023.57"/>
    <x v="0"/>
    <n v="124.3"/>
    <x v="3"/>
    <s v="Bireysel"/>
    <x v="0"/>
    <x v="0"/>
  </r>
  <r>
    <n v="695"/>
    <x v="8"/>
    <x v="8"/>
    <x v="0"/>
    <x v="0"/>
    <n v="1642.09"/>
    <x v="3"/>
    <n v="1258.9000000000001"/>
    <x v="0"/>
    <s v="Bireysel"/>
    <x v="0"/>
    <x v="0"/>
  </r>
  <r>
    <n v="696"/>
    <x v="0"/>
    <x v="8"/>
    <x v="1"/>
    <x v="1"/>
    <n v="812.11"/>
    <x v="1"/>
    <n v="1411.5"/>
    <x v="0"/>
    <s v="Bireysel"/>
    <x v="0"/>
    <x v="0"/>
  </r>
  <r>
    <n v="697"/>
    <x v="3"/>
    <x v="5"/>
    <x v="2"/>
    <x v="2"/>
    <n v="971.27"/>
    <x v="1"/>
    <n v="469.1"/>
    <x v="3"/>
    <s v="Bireysel"/>
    <x v="0"/>
    <x v="0"/>
  </r>
  <r>
    <n v="698"/>
    <x v="3"/>
    <x v="2"/>
    <x v="0"/>
    <x v="0"/>
    <n v="31.67"/>
    <x v="2"/>
    <n v="131.80000000000001"/>
    <x v="3"/>
    <s v="Bireysel"/>
    <x v="0"/>
    <x v="0"/>
  </r>
  <r>
    <n v="699"/>
    <x v="7"/>
    <x v="4"/>
    <x v="0"/>
    <x v="0"/>
    <n v="822.43"/>
    <x v="1"/>
    <n v="759.1"/>
    <x v="2"/>
    <s v="Bireysel"/>
    <x v="0"/>
    <x v="0"/>
  </r>
  <r>
    <n v="700"/>
    <x v="5"/>
    <x v="3"/>
    <x v="0"/>
    <x v="0"/>
    <n v="1297.31"/>
    <x v="0"/>
    <n v="242.3"/>
    <x v="3"/>
    <s v="Kurumsal"/>
    <x v="1"/>
    <x v="0"/>
  </r>
  <r>
    <n v="701"/>
    <x v="0"/>
    <x v="9"/>
    <x v="0"/>
    <x v="0"/>
    <n v="35.94"/>
    <x v="2"/>
    <n v="277.10000000000002"/>
    <x v="3"/>
    <s v="Bireysel"/>
    <x v="0"/>
    <x v="0"/>
  </r>
  <r>
    <n v="702"/>
    <x v="6"/>
    <x v="2"/>
    <x v="1"/>
    <x v="1"/>
    <n v="565.36"/>
    <x v="1"/>
    <n v="545.79999999999995"/>
    <x v="2"/>
    <s v="Bireysel"/>
    <x v="0"/>
    <x v="0"/>
  </r>
  <r>
    <n v="703"/>
    <x v="7"/>
    <x v="1"/>
    <x v="0"/>
    <x v="0"/>
    <n v="419.87"/>
    <x v="2"/>
    <n v="626.20000000000005"/>
    <x v="2"/>
    <s v="Kurumsal"/>
    <x v="1"/>
    <x v="0"/>
  </r>
  <r>
    <n v="704"/>
    <x v="6"/>
    <x v="9"/>
    <x v="0"/>
    <x v="0"/>
    <n v="88.76"/>
    <x v="2"/>
    <n v="1083.4000000000001"/>
    <x v="0"/>
    <s v="Bireysel"/>
    <x v="0"/>
    <x v="0"/>
  </r>
  <r>
    <n v="705"/>
    <x v="7"/>
    <x v="2"/>
    <x v="0"/>
    <x v="0"/>
    <n v="961.12"/>
    <x v="1"/>
    <n v="1372.9"/>
    <x v="0"/>
    <s v="Kurumsal"/>
    <x v="1"/>
    <x v="1"/>
  </r>
  <r>
    <n v="706"/>
    <x v="7"/>
    <x v="6"/>
    <x v="0"/>
    <x v="0"/>
    <n v="367.54"/>
    <x v="2"/>
    <n v="1205.9000000000001"/>
    <x v="0"/>
    <s v="Bireysel"/>
    <x v="0"/>
    <x v="0"/>
  </r>
  <r>
    <n v="707"/>
    <x v="7"/>
    <x v="7"/>
    <x v="0"/>
    <x v="0"/>
    <n v="1487.45"/>
    <x v="0"/>
    <n v="339.3"/>
    <x v="3"/>
    <s v="Bireysel"/>
    <x v="0"/>
    <x v="1"/>
  </r>
  <r>
    <n v="708"/>
    <x v="5"/>
    <x v="4"/>
    <x v="1"/>
    <x v="1"/>
    <n v="1696.62"/>
    <x v="3"/>
    <n v="385.6"/>
    <x v="3"/>
    <s v="Bireysel"/>
    <x v="0"/>
    <x v="0"/>
  </r>
  <r>
    <n v="709"/>
    <x v="7"/>
    <x v="8"/>
    <x v="0"/>
    <x v="0"/>
    <n v="1093.44"/>
    <x v="0"/>
    <n v="1763.6"/>
    <x v="1"/>
    <s v="Bireysel"/>
    <x v="0"/>
    <x v="0"/>
  </r>
  <r>
    <n v="710"/>
    <x v="1"/>
    <x v="8"/>
    <x v="1"/>
    <x v="1"/>
    <n v="1963.51"/>
    <x v="3"/>
    <n v="1138.8"/>
    <x v="0"/>
    <s v="Bireysel"/>
    <x v="0"/>
    <x v="0"/>
  </r>
  <r>
    <n v="711"/>
    <x v="9"/>
    <x v="4"/>
    <x v="1"/>
    <x v="1"/>
    <n v="90.37"/>
    <x v="2"/>
    <n v="1746.4"/>
    <x v="1"/>
    <s v="Kurumsal"/>
    <x v="1"/>
    <x v="0"/>
  </r>
  <r>
    <n v="712"/>
    <x v="6"/>
    <x v="2"/>
    <x v="0"/>
    <x v="0"/>
    <n v="1029.17"/>
    <x v="0"/>
    <n v="774.5"/>
    <x v="2"/>
    <s v="Bireysel"/>
    <x v="0"/>
    <x v="0"/>
  </r>
  <r>
    <n v="713"/>
    <x v="8"/>
    <x v="8"/>
    <x v="0"/>
    <x v="0"/>
    <n v="1978.49"/>
    <x v="3"/>
    <n v="1248.0999999999999"/>
    <x v="0"/>
    <s v="Bireysel"/>
    <x v="0"/>
    <x v="0"/>
  </r>
  <r>
    <n v="714"/>
    <x v="2"/>
    <x v="9"/>
    <x v="0"/>
    <x v="0"/>
    <n v="466.94"/>
    <x v="2"/>
    <n v="1071.0999999999999"/>
    <x v="0"/>
    <s v="Bireysel"/>
    <x v="0"/>
    <x v="0"/>
  </r>
  <r>
    <n v="715"/>
    <x v="0"/>
    <x v="1"/>
    <x v="0"/>
    <x v="0"/>
    <n v="1885.38"/>
    <x v="3"/>
    <n v="672.3"/>
    <x v="2"/>
    <s v="Bireysel"/>
    <x v="0"/>
    <x v="0"/>
  </r>
  <r>
    <n v="716"/>
    <x v="4"/>
    <x v="3"/>
    <x v="0"/>
    <x v="0"/>
    <n v="90.46"/>
    <x v="2"/>
    <n v="966.3"/>
    <x v="2"/>
    <s v="Bireysel"/>
    <x v="0"/>
    <x v="0"/>
  </r>
  <r>
    <n v="717"/>
    <x v="5"/>
    <x v="0"/>
    <x v="0"/>
    <x v="0"/>
    <n v="895.54"/>
    <x v="1"/>
    <n v="1029.9000000000001"/>
    <x v="0"/>
    <s v="Bireysel"/>
    <x v="0"/>
    <x v="0"/>
  </r>
  <r>
    <n v="718"/>
    <x v="8"/>
    <x v="8"/>
    <x v="0"/>
    <x v="0"/>
    <n v="144.66"/>
    <x v="2"/>
    <n v="441.5"/>
    <x v="3"/>
    <s v="Kurumsal"/>
    <x v="1"/>
    <x v="0"/>
  </r>
  <r>
    <n v="719"/>
    <x v="3"/>
    <x v="4"/>
    <x v="1"/>
    <x v="1"/>
    <n v="1459.82"/>
    <x v="0"/>
    <n v="664.3"/>
    <x v="2"/>
    <s v="Kurumsal"/>
    <x v="1"/>
    <x v="0"/>
  </r>
  <r>
    <n v="720"/>
    <x v="1"/>
    <x v="1"/>
    <x v="0"/>
    <x v="0"/>
    <n v="1218.78"/>
    <x v="0"/>
    <n v="1593.2"/>
    <x v="1"/>
    <s v="Bireysel"/>
    <x v="0"/>
    <x v="0"/>
  </r>
  <r>
    <n v="721"/>
    <x v="4"/>
    <x v="2"/>
    <x v="1"/>
    <x v="1"/>
    <n v="1414.74"/>
    <x v="0"/>
    <n v="1835.8"/>
    <x v="1"/>
    <s v="Bireysel"/>
    <x v="0"/>
    <x v="0"/>
  </r>
  <r>
    <n v="722"/>
    <x v="2"/>
    <x v="7"/>
    <x v="0"/>
    <x v="0"/>
    <n v="752.09"/>
    <x v="1"/>
    <n v="751.6"/>
    <x v="2"/>
    <s v="Kurumsal"/>
    <x v="1"/>
    <x v="0"/>
  </r>
  <r>
    <n v="723"/>
    <x v="8"/>
    <x v="4"/>
    <x v="1"/>
    <x v="1"/>
    <n v="742.12"/>
    <x v="1"/>
    <n v="648.6"/>
    <x v="2"/>
    <s v="Kurumsal"/>
    <x v="1"/>
    <x v="0"/>
  </r>
  <r>
    <n v="724"/>
    <x v="4"/>
    <x v="9"/>
    <x v="0"/>
    <x v="0"/>
    <n v="95.41"/>
    <x v="2"/>
    <n v="430.6"/>
    <x v="3"/>
    <s v="Bireysel"/>
    <x v="0"/>
    <x v="1"/>
  </r>
  <r>
    <n v="725"/>
    <x v="8"/>
    <x v="7"/>
    <x v="0"/>
    <x v="0"/>
    <n v="703.14"/>
    <x v="1"/>
    <n v="1373.1"/>
    <x v="0"/>
    <s v="Kurumsal"/>
    <x v="1"/>
    <x v="0"/>
  </r>
  <r>
    <n v="726"/>
    <x v="1"/>
    <x v="3"/>
    <x v="1"/>
    <x v="1"/>
    <n v="1858.93"/>
    <x v="3"/>
    <n v="680"/>
    <x v="2"/>
    <s v="Bireysel"/>
    <x v="0"/>
    <x v="0"/>
  </r>
  <r>
    <n v="727"/>
    <x v="2"/>
    <x v="3"/>
    <x v="0"/>
    <x v="0"/>
    <n v="761.56"/>
    <x v="1"/>
    <n v="1976.1"/>
    <x v="1"/>
    <s v="Kurumsal"/>
    <x v="1"/>
    <x v="0"/>
  </r>
  <r>
    <n v="728"/>
    <x v="3"/>
    <x v="6"/>
    <x v="0"/>
    <x v="0"/>
    <n v="1663.58"/>
    <x v="3"/>
    <n v="685.1"/>
    <x v="2"/>
    <s v="Bireysel"/>
    <x v="0"/>
    <x v="0"/>
  </r>
  <r>
    <n v="729"/>
    <x v="7"/>
    <x v="5"/>
    <x v="2"/>
    <x v="2"/>
    <n v="1685.44"/>
    <x v="3"/>
    <n v="818.6"/>
    <x v="2"/>
    <s v="Bireysel"/>
    <x v="0"/>
    <x v="0"/>
  </r>
  <r>
    <n v="730"/>
    <x v="6"/>
    <x v="4"/>
    <x v="0"/>
    <x v="0"/>
    <n v="749.62"/>
    <x v="1"/>
    <n v="1226.5"/>
    <x v="0"/>
    <s v="Kurumsal"/>
    <x v="1"/>
    <x v="0"/>
  </r>
  <r>
    <n v="731"/>
    <x v="3"/>
    <x v="1"/>
    <x v="0"/>
    <x v="0"/>
    <n v="1265.82"/>
    <x v="0"/>
    <n v="1613.3"/>
    <x v="1"/>
    <s v="Bireysel"/>
    <x v="0"/>
    <x v="0"/>
  </r>
  <r>
    <n v="732"/>
    <x v="7"/>
    <x v="7"/>
    <x v="1"/>
    <x v="1"/>
    <n v="195.27"/>
    <x v="2"/>
    <n v="965.6"/>
    <x v="2"/>
    <s v="Bireysel"/>
    <x v="0"/>
    <x v="0"/>
  </r>
  <r>
    <n v="733"/>
    <x v="5"/>
    <x v="5"/>
    <x v="1"/>
    <x v="1"/>
    <n v="211.84"/>
    <x v="2"/>
    <n v="874.2"/>
    <x v="2"/>
    <s v="Bireysel"/>
    <x v="0"/>
    <x v="0"/>
  </r>
  <r>
    <n v="734"/>
    <x v="9"/>
    <x v="2"/>
    <x v="1"/>
    <x v="1"/>
    <n v="102.07"/>
    <x v="2"/>
    <n v="1991.5"/>
    <x v="1"/>
    <s v="Kurumsal"/>
    <x v="1"/>
    <x v="0"/>
  </r>
  <r>
    <n v="735"/>
    <x v="0"/>
    <x v="9"/>
    <x v="0"/>
    <x v="0"/>
    <n v="1164.1300000000001"/>
    <x v="0"/>
    <n v="70.5"/>
    <x v="3"/>
    <s v="Kurumsal"/>
    <x v="1"/>
    <x v="0"/>
  </r>
  <r>
    <n v="736"/>
    <x v="0"/>
    <x v="6"/>
    <x v="1"/>
    <x v="1"/>
    <n v="855.01"/>
    <x v="1"/>
    <n v="1795.4"/>
    <x v="1"/>
    <s v="Kurumsal"/>
    <x v="1"/>
    <x v="0"/>
  </r>
  <r>
    <n v="737"/>
    <x v="6"/>
    <x v="5"/>
    <x v="0"/>
    <x v="0"/>
    <n v="1098.32"/>
    <x v="0"/>
    <n v="340.8"/>
    <x v="3"/>
    <s v="Bireysel"/>
    <x v="0"/>
    <x v="0"/>
  </r>
  <r>
    <n v="738"/>
    <x v="2"/>
    <x v="0"/>
    <x v="1"/>
    <x v="1"/>
    <n v="1044.54"/>
    <x v="0"/>
    <n v="1582.6"/>
    <x v="1"/>
    <s v="Kurumsal"/>
    <x v="1"/>
    <x v="0"/>
  </r>
  <r>
    <n v="739"/>
    <x v="1"/>
    <x v="5"/>
    <x v="2"/>
    <x v="2"/>
    <n v="703.65"/>
    <x v="1"/>
    <n v="1255"/>
    <x v="0"/>
    <s v="Bireysel"/>
    <x v="0"/>
    <x v="0"/>
  </r>
  <r>
    <n v="740"/>
    <x v="2"/>
    <x v="5"/>
    <x v="1"/>
    <x v="1"/>
    <n v="1356.56"/>
    <x v="0"/>
    <n v="716.6"/>
    <x v="2"/>
    <s v="Bireysel"/>
    <x v="0"/>
    <x v="0"/>
  </r>
  <r>
    <n v="741"/>
    <x v="1"/>
    <x v="9"/>
    <x v="1"/>
    <x v="1"/>
    <n v="1518.21"/>
    <x v="3"/>
    <n v="1754.1"/>
    <x v="1"/>
    <s v="Kurumsal"/>
    <x v="1"/>
    <x v="0"/>
  </r>
  <r>
    <n v="742"/>
    <x v="2"/>
    <x v="8"/>
    <x v="0"/>
    <x v="0"/>
    <n v="34.18"/>
    <x v="2"/>
    <n v="75.2"/>
    <x v="3"/>
    <s v="Bireysel"/>
    <x v="0"/>
    <x v="1"/>
  </r>
  <r>
    <n v="743"/>
    <x v="9"/>
    <x v="3"/>
    <x v="1"/>
    <x v="1"/>
    <n v="418.45"/>
    <x v="2"/>
    <n v="492"/>
    <x v="3"/>
    <s v="Bireysel"/>
    <x v="0"/>
    <x v="0"/>
  </r>
  <r>
    <n v="744"/>
    <x v="5"/>
    <x v="3"/>
    <x v="1"/>
    <x v="1"/>
    <n v="1427.91"/>
    <x v="0"/>
    <n v="1155.4000000000001"/>
    <x v="0"/>
    <s v="Bireysel"/>
    <x v="0"/>
    <x v="1"/>
  </r>
  <r>
    <n v="745"/>
    <x v="5"/>
    <x v="0"/>
    <x v="0"/>
    <x v="0"/>
    <n v="776.31"/>
    <x v="1"/>
    <n v="735.5"/>
    <x v="2"/>
    <s v="Bireysel"/>
    <x v="0"/>
    <x v="0"/>
  </r>
  <r>
    <n v="746"/>
    <x v="7"/>
    <x v="1"/>
    <x v="1"/>
    <x v="1"/>
    <n v="1326.66"/>
    <x v="0"/>
    <n v="1240.2"/>
    <x v="0"/>
    <s v="Kurumsal"/>
    <x v="1"/>
    <x v="0"/>
  </r>
  <r>
    <n v="747"/>
    <x v="4"/>
    <x v="1"/>
    <x v="0"/>
    <x v="0"/>
    <n v="697.19"/>
    <x v="1"/>
    <n v="97"/>
    <x v="3"/>
    <s v="Bireysel"/>
    <x v="0"/>
    <x v="0"/>
  </r>
  <r>
    <n v="748"/>
    <x v="5"/>
    <x v="2"/>
    <x v="1"/>
    <x v="1"/>
    <n v="784.56"/>
    <x v="1"/>
    <n v="277.10000000000002"/>
    <x v="3"/>
    <s v="Kurumsal"/>
    <x v="1"/>
    <x v="0"/>
  </r>
  <r>
    <n v="749"/>
    <x v="5"/>
    <x v="7"/>
    <x v="1"/>
    <x v="1"/>
    <n v="321.56"/>
    <x v="2"/>
    <n v="297.8"/>
    <x v="3"/>
    <s v="Bireysel"/>
    <x v="0"/>
    <x v="0"/>
  </r>
  <r>
    <n v="750"/>
    <x v="3"/>
    <x v="4"/>
    <x v="1"/>
    <x v="1"/>
    <n v="520.16999999999996"/>
    <x v="1"/>
    <n v="419.1"/>
    <x v="3"/>
    <s v="Bireysel"/>
    <x v="0"/>
    <x v="0"/>
  </r>
  <r>
    <n v="751"/>
    <x v="3"/>
    <x v="8"/>
    <x v="0"/>
    <x v="0"/>
    <n v="121.28"/>
    <x v="2"/>
    <n v="945.7"/>
    <x v="2"/>
    <s v="Bireysel"/>
    <x v="0"/>
    <x v="0"/>
  </r>
  <r>
    <n v="752"/>
    <x v="7"/>
    <x v="6"/>
    <x v="0"/>
    <x v="0"/>
    <n v="869.16"/>
    <x v="1"/>
    <n v="1516.7"/>
    <x v="1"/>
    <s v="Kurumsal"/>
    <x v="1"/>
    <x v="1"/>
  </r>
  <r>
    <n v="753"/>
    <x v="4"/>
    <x v="9"/>
    <x v="0"/>
    <x v="0"/>
    <n v="1549.73"/>
    <x v="3"/>
    <n v="1815.8"/>
    <x v="1"/>
    <s v="Bireysel"/>
    <x v="0"/>
    <x v="0"/>
  </r>
  <r>
    <n v="754"/>
    <x v="6"/>
    <x v="4"/>
    <x v="2"/>
    <x v="2"/>
    <n v="1705.91"/>
    <x v="3"/>
    <n v="1679"/>
    <x v="1"/>
    <s v="Kurumsal"/>
    <x v="1"/>
    <x v="0"/>
  </r>
  <r>
    <n v="755"/>
    <x v="3"/>
    <x v="5"/>
    <x v="0"/>
    <x v="0"/>
    <n v="1085.58"/>
    <x v="0"/>
    <n v="433.9"/>
    <x v="3"/>
    <s v="Bireysel"/>
    <x v="0"/>
    <x v="0"/>
  </r>
  <r>
    <n v="756"/>
    <x v="6"/>
    <x v="0"/>
    <x v="0"/>
    <x v="0"/>
    <n v="1517.74"/>
    <x v="3"/>
    <n v="910.2"/>
    <x v="2"/>
    <s v="Bireysel"/>
    <x v="0"/>
    <x v="0"/>
  </r>
  <r>
    <n v="757"/>
    <x v="8"/>
    <x v="3"/>
    <x v="1"/>
    <x v="1"/>
    <n v="617.27"/>
    <x v="1"/>
    <n v="438.9"/>
    <x v="3"/>
    <s v="Bireysel"/>
    <x v="0"/>
    <x v="0"/>
  </r>
  <r>
    <n v="758"/>
    <x v="3"/>
    <x v="2"/>
    <x v="0"/>
    <x v="0"/>
    <n v="832.87"/>
    <x v="1"/>
    <n v="565.70000000000005"/>
    <x v="2"/>
    <s v="Kurumsal"/>
    <x v="1"/>
    <x v="0"/>
  </r>
  <r>
    <n v="759"/>
    <x v="9"/>
    <x v="1"/>
    <x v="1"/>
    <x v="1"/>
    <n v="1426.99"/>
    <x v="0"/>
    <n v="1031.9000000000001"/>
    <x v="0"/>
    <s v="Kurumsal"/>
    <x v="1"/>
    <x v="1"/>
  </r>
  <r>
    <n v="760"/>
    <x v="4"/>
    <x v="0"/>
    <x v="1"/>
    <x v="1"/>
    <n v="775.49"/>
    <x v="1"/>
    <n v="182.8"/>
    <x v="3"/>
    <s v="Bireysel"/>
    <x v="0"/>
    <x v="0"/>
  </r>
  <r>
    <n v="761"/>
    <x v="7"/>
    <x v="5"/>
    <x v="1"/>
    <x v="1"/>
    <n v="1179.07"/>
    <x v="0"/>
    <n v="475.4"/>
    <x v="3"/>
    <s v="Bireysel"/>
    <x v="0"/>
    <x v="0"/>
  </r>
  <r>
    <n v="762"/>
    <x v="8"/>
    <x v="6"/>
    <x v="0"/>
    <x v="0"/>
    <n v="374.82"/>
    <x v="2"/>
    <n v="1874"/>
    <x v="1"/>
    <s v="Bireysel"/>
    <x v="0"/>
    <x v="0"/>
  </r>
  <r>
    <n v="763"/>
    <x v="4"/>
    <x v="2"/>
    <x v="0"/>
    <x v="0"/>
    <n v="1201.54"/>
    <x v="0"/>
    <n v="958.9"/>
    <x v="2"/>
    <s v="Kurumsal"/>
    <x v="1"/>
    <x v="1"/>
  </r>
  <r>
    <n v="764"/>
    <x v="9"/>
    <x v="9"/>
    <x v="0"/>
    <x v="0"/>
    <n v="1723.72"/>
    <x v="3"/>
    <n v="918.5"/>
    <x v="2"/>
    <s v="Bireysel"/>
    <x v="0"/>
    <x v="0"/>
  </r>
  <r>
    <n v="765"/>
    <x v="4"/>
    <x v="3"/>
    <x v="0"/>
    <x v="0"/>
    <n v="1737.94"/>
    <x v="3"/>
    <n v="78.400000000000006"/>
    <x v="3"/>
    <s v="Kurumsal"/>
    <x v="1"/>
    <x v="0"/>
  </r>
  <r>
    <n v="766"/>
    <x v="9"/>
    <x v="3"/>
    <x v="0"/>
    <x v="0"/>
    <n v="1450.07"/>
    <x v="0"/>
    <n v="532.4"/>
    <x v="2"/>
    <s v="Kurumsal"/>
    <x v="1"/>
    <x v="0"/>
  </r>
  <r>
    <n v="767"/>
    <x v="9"/>
    <x v="3"/>
    <x v="0"/>
    <x v="0"/>
    <n v="1492.78"/>
    <x v="0"/>
    <n v="1739.3"/>
    <x v="1"/>
    <s v="Bireysel"/>
    <x v="0"/>
    <x v="0"/>
  </r>
  <r>
    <n v="768"/>
    <x v="6"/>
    <x v="0"/>
    <x v="1"/>
    <x v="1"/>
    <n v="1118.07"/>
    <x v="0"/>
    <n v="371"/>
    <x v="3"/>
    <s v="Kurumsal"/>
    <x v="1"/>
    <x v="0"/>
  </r>
  <r>
    <n v="769"/>
    <x v="2"/>
    <x v="0"/>
    <x v="1"/>
    <x v="1"/>
    <n v="1171.4100000000001"/>
    <x v="0"/>
    <n v="859.5"/>
    <x v="2"/>
    <s v="Bireysel"/>
    <x v="0"/>
    <x v="0"/>
  </r>
  <r>
    <n v="770"/>
    <x v="8"/>
    <x v="1"/>
    <x v="0"/>
    <x v="0"/>
    <n v="271.63"/>
    <x v="2"/>
    <n v="77.900000000000006"/>
    <x v="3"/>
    <s v="Bireysel"/>
    <x v="0"/>
    <x v="1"/>
  </r>
  <r>
    <n v="771"/>
    <x v="4"/>
    <x v="1"/>
    <x v="1"/>
    <x v="1"/>
    <n v="89.05"/>
    <x v="2"/>
    <n v="982.8"/>
    <x v="2"/>
    <s v="Bireysel"/>
    <x v="0"/>
    <x v="1"/>
  </r>
  <r>
    <n v="772"/>
    <x v="1"/>
    <x v="6"/>
    <x v="2"/>
    <x v="2"/>
    <n v="90.43"/>
    <x v="2"/>
    <n v="91"/>
    <x v="3"/>
    <s v="Bireysel"/>
    <x v="0"/>
    <x v="0"/>
  </r>
  <r>
    <n v="773"/>
    <x v="8"/>
    <x v="2"/>
    <x v="1"/>
    <x v="1"/>
    <n v="191.72"/>
    <x v="2"/>
    <n v="1648.2"/>
    <x v="1"/>
    <s v="Kurumsal"/>
    <x v="1"/>
    <x v="0"/>
  </r>
  <r>
    <n v="774"/>
    <x v="2"/>
    <x v="9"/>
    <x v="1"/>
    <x v="1"/>
    <n v="865.02"/>
    <x v="1"/>
    <n v="1658.5"/>
    <x v="1"/>
    <s v="Bireysel"/>
    <x v="0"/>
    <x v="0"/>
  </r>
  <r>
    <n v="775"/>
    <x v="8"/>
    <x v="9"/>
    <x v="0"/>
    <x v="0"/>
    <n v="1100.94"/>
    <x v="0"/>
    <n v="1586.1"/>
    <x v="1"/>
    <s v="Bireysel"/>
    <x v="0"/>
    <x v="1"/>
  </r>
  <r>
    <n v="776"/>
    <x v="5"/>
    <x v="5"/>
    <x v="0"/>
    <x v="0"/>
    <n v="1068.8399999999999"/>
    <x v="0"/>
    <n v="602.6"/>
    <x v="2"/>
    <s v="Bireysel"/>
    <x v="0"/>
    <x v="0"/>
  </r>
  <r>
    <n v="777"/>
    <x v="1"/>
    <x v="3"/>
    <x v="0"/>
    <x v="0"/>
    <n v="1275.3399999999999"/>
    <x v="0"/>
    <n v="1682.6"/>
    <x v="1"/>
    <s v="Bireysel"/>
    <x v="0"/>
    <x v="0"/>
  </r>
  <r>
    <n v="778"/>
    <x v="2"/>
    <x v="2"/>
    <x v="0"/>
    <x v="0"/>
    <n v="1497.72"/>
    <x v="0"/>
    <n v="1108.8"/>
    <x v="0"/>
    <s v="Bireysel"/>
    <x v="0"/>
    <x v="0"/>
  </r>
  <r>
    <n v="779"/>
    <x v="6"/>
    <x v="4"/>
    <x v="2"/>
    <x v="2"/>
    <n v="453.96"/>
    <x v="2"/>
    <n v="778.9"/>
    <x v="2"/>
    <s v="Bireysel"/>
    <x v="0"/>
    <x v="0"/>
  </r>
  <r>
    <n v="780"/>
    <x v="4"/>
    <x v="0"/>
    <x v="1"/>
    <x v="1"/>
    <n v="1059.81"/>
    <x v="0"/>
    <n v="1269.4000000000001"/>
    <x v="0"/>
    <s v="Bireysel"/>
    <x v="0"/>
    <x v="0"/>
  </r>
  <r>
    <n v="781"/>
    <x v="0"/>
    <x v="0"/>
    <x v="0"/>
    <x v="0"/>
    <n v="1652.71"/>
    <x v="3"/>
    <n v="74.099999999999994"/>
    <x v="3"/>
    <s v="Kurumsal"/>
    <x v="1"/>
    <x v="0"/>
  </r>
  <r>
    <n v="782"/>
    <x v="2"/>
    <x v="8"/>
    <x v="0"/>
    <x v="0"/>
    <n v="928.91"/>
    <x v="1"/>
    <n v="328.8"/>
    <x v="3"/>
    <s v="Kurumsal"/>
    <x v="1"/>
    <x v="0"/>
  </r>
  <r>
    <n v="783"/>
    <x v="7"/>
    <x v="6"/>
    <x v="1"/>
    <x v="1"/>
    <n v="560.52"/>
    <x v="1"/>
    <n v="1497.5"/>
    <x v="0"/>
    <s v="Bireysel"/>
    <x v="0"/>
    <x v="1"/>
  </r>
  <r>
    <n v="784"/>
    <x v="4"/>
    <x v="3"/>
    <x v="0"/>
    <x v="0"/>
    <n v="1311.14"/>
    <x v="0"/>
    <n v="526.1"/>
    <x v="2"/>
    <s v="Kurumsal"/>
    <x v="1"/>
    <x v="0"/>
  </r>
  <r>
    <n v="785"/>
    <x v="2"/>
    <x v="3"/>
    <x v="0"/>
    <x v="0"/>
    <n v="1648.42"/>
    <x v="3"/>
    <n v="1216.0999999999999"/>
    <x v="0"/>
    <s v="Bireysel"/>
    <x v="0"/>
    <x v="0"/>
  </r>
  <r>
    <n v="786"/>
    <x v="5"/>
    <x v="3"/>
    <x v="1"/>
    <x v="1"/>
    <n v="130.96"/>
    <x v="2"/>
    <n v="801"/>
    <x v="2"/>
    <s v="Bireysel"/>
    <x v="0"/>
    <x v="0"/>
  </r>
  <r>
    <n v="787"/>
    <x v="0"/>
    <x v="0"/>
    <x v="0"/>
    <x v="0"/>
    <n v="155.47"/>
    <x v="2"/>
    <n v="1716.9"/>
    <x v="1"/>
    <s v="Bireysel"/>
    <x v="0"/>
    <x v="0"/>
  </r>
  <r>
    <n v="788"/>
    <x v="5"/>
    <x v="0"/>
    <x v="0"/>
    <x v="0"/>
    <n v="1644.19"/>
    <x v="3"/>
    <n v="1907.2"/>
    <x v="1"/>
    <s v="Bireysel"/>
    <x v="0"/>
    <x v="0"/>
  </r>
  <r>
    <n v="789"/>
    <x v="0"/>
    <x v="8"/>
    <x v="0"/>
    <x v="0"/>
    <n v="925.74"/>
    <x v="1"/>
    <n v="1773"/>
    <x v="1"/>
    <s v="Bireysel"/>
    <x v="0"/>
    <x v="0"/>
  </r>
  <r>
    <n v="790"/>
    <x v="7"/>
    <x v="4"/>
    <x v="1"/>
    <x v="1"/>
    <n v="1966.69"/>
    <x v="3"/>
    <n v="577.70000000000005"/>
    <x v="2"/>
    <s v="Kurumsal"/>
    <x v="1"/>
    <x v="0"/>
  </r>
  <r>
    <n v="791"/>
    <x v="4"/>
    <x v="2"/>
    <x v="0"/>
    <x v="0"/>
    <n v="1574.48"/>
    <x v="3"/>
    <n v="428.6"/>
    <x v="3"/>
    <s v="Bireysel"/>
    <x v="0"/>
    <x v="1"/>
  </r>
  <r>
    <n v="792"/>
    <x v="6"/>
    <x v="3"/>
    <x v="0"/>
    <x v="0"/>
    <n v="1548.46"/>
    <x v="3"/>
    <n v="975.1"/>
    <x v="2"/>
    <s v="Kurumsal"/>
    <x v="1"/>
    <x v="0"/>
  </r>
  <r>
    <n v="793"/>
    <x v="5"/>
    <x v="9"/>
    <x v="0"/>
    <x v="0"/>
    <n v="1496.94"/>
    <x v="0"/>
    <n v="64.3"/>
    <x v="3"/>
    <s v="Bireysel"/>
    <x v="0"/>
    <x v="0"/>
  </r>
  <r>
    <n v="794"/>
    <x v="5"/>
    <x v="1"/>
    <x v="0"/>
    <x v="0"/>
    <n v="305.45999999999998"/>
    <x v="2"/>
    <n v="100.3"/>
    <x v="3"/>
    <s v="Kurumsal"/>
    <x v="1"/>
    <x v="0"/>
  </r>
  <r>
    <n v="795"/>
    <x v="9"/>
    <x v="9"/>
    <x v="0"/>
    <x v="0"/>
    <n v="438.38"/>
    <x v="2"/>
    <n v="1128.9000000000001"/>
    <x v="0"/>
    <s v="Bireysel"/>
    <x v="0"/>
    <x v="0"/>
  </r>
  <r>
    <n v="796"/>
    <x v="0"/>
    <x v="5"/>
    <x v="1"/>
    <x v="1"/>
    <n v="930.66"/>
    <x v="1"/>
    <n v="1064.9000000000001"/>
    <x v="0"/>
    <s v="Bireysel"/>
    <x v="0"/>
    <x v="0"/>
  </r>
  <r>
    <n v="797"/>
    <x v="3"/>
    <x v="9"/>
    <x v="0"/>
    <x v="0"/>
    <n v="531.69000000000005"/>
    <x v="1"/>
    <n v="1989.4"/>
    <x v="1"/>
    <s v="Bireysel"/>
    <x v="0"/>
    <x v="1"/>
  </r>
  <r>
    <n v="798"/>
    <x v="4"/>
    <x v="5"/>
    <x v="1"/>
    <x v="1"/>
    <n v="833.41"/>
    <x v="1"/>
    <n v="443.6"/>
    <x v="3"/>
    <s v="Bireysel"/>
    <x v="0"/>
    <x v="0"/>
  </r>
  <r>
    <n v="799"/>
    <x v="0"/>
    <x v="9"/>
    <x v="0"/>
    <x v="0"/>
    <n v="1777.49"/>
    <x v="3"/>
    <n v="553.29999999999995"/>
    <x v="2"/>
    <s v="Bireysel"/>
    <x v="0"/>
    <x v="0"/>
  </r>
  <r>
    <n v="800"/>
    <x v="9"/>
    <x v="1"/>
    <x v="0"/>
    <x v="0"/>
    <n v="1649.53"/>
    <x v="3"/>
    <n v="271.39999999999998"/>
    <x v="3"/>
    <s v="Kurumsal"/>
    <x v="1"/>
    <x v="1"/>
  </r>
  <r>
    <n v="801"/>
    <x v="8"/>
    <x v="9"/>
    <x v="0"/>
    <x v="0"/>
    <n v="1261.93"/>
    <x v="0"/>
    <n v="1839.2"/>
    <x v="1"/>
    <s v="Bireysel"/>
    <x v="0"/>
    <x v="0"/>
  </r>
  <r>
    <n v="802"/>
    <x v="0"/>
    <x v="9"/>
    <x v="0"/>
    <x v="0"/>
    <n v="1716.95"/>
    <x v="3"/>
    <n v="1566.7"/>
    <x v="1"/>
    <s v="Kurumsal"/>
    <x v="1"/>
    <x v="0"/>
  </r>
  <r>
    <n v="803"/>
    <x v="6"/>
    <x v="2"/>
    <x v="0"/>
    <x v="0"/>
    <n v="1568.63"/>
    <x v="3"/>
    <n v="1653.6"/>
    <x v="1"/>
    <s v="Bireysel"/>
    <x v="0"/>
    <x v="0"/>
  </r>
  <r>
    <n v="804"/>
    <x v="4"/>
    <x v="2"/>
    <x v="0"/>
    <x v="0"/>
    <n v="860.82"/>
    <x v="1"/>
    <n v="1810.4"/>
    <x v="1"/>
    <s v="Kurumsal"/>
    <x v="1"/>
    <x v="0"/>
  </r>
  <r>
    <n v="805"/>
    <x v="9"/>
    <x v="7"/>
    <x v="0"/>
    <x v="0"/>
    <n v="406.12"/>
    <x v="2"/>
    <n v="1073.5999999999999"/>
    <x v="0"/>
    <s v="Bireysel"/>
    <x v="0"/>
    <x v="0"/>
  </r>
  <r>
    <n v="806"/>
    <x v="8"/>
    <x v="2"/>
    <x v="1"/>
    <x v="1"/>
    <n v="1030.83"/>
    <x v="0"/>
    <n v="929.8"/>
    <x v="2"/>
    <s v="Bireysel"/>
    <x v="0"/>
    <x v="0"/>
  </r>
  <r>
    <n v="807"/>
    <x v="1"/>
    <x v="9"/>
    <x v="0"/>
    <x v="0"/>
    <n v="1473.78"/>
    <x v="0"/>
    <n v="694.3"/>
    <x v="2"/>
    <s v="Kurumsal"/>
    <x v="1"/>
    <x v="0"/>
  </r>
  <r>
    <n v="808"/>
    <x v="9"/>
    <x v="4"/>
    <x v="1"/>
    <x v="1"/>
    <n v="875.66"/>
    <x v="1"/>
    <n v="1199"/>
    <x v="0"/>
    <s v="Bireysel"/>
    <x v="0"/>
    <x v="0"/>
  </r>
  <r>
    <n v="809"/>
    <x v="1"/>
    <x v="7"/>
    <x v="2"/>
    <x v="2"/>
    <n v="1335.21"/>
    <x v="0"/>
    <n v="935.8"/>
    <x v="2"/>
    <s v="Bireysel"/>
    <x v="0"/>
    <x v="0"/>
  </r>
  <r>
    <n v="810"/>
    <x v="4"/>
    <x v="1"/>
    <x v="0"/>
    <x v="0"/>
    <n v="193.18"/>
    <x v="2"/>
    <n v="930.6"/>
    <x v="2"/>
    <s v="Bireysel"/>
    <x v="0"/>
    <x v="0"/>
  </r>
  <r>
    <n v="811"/>
    <x v="5"/>
    <x v="9"/>
    <x v="0"/>
    <x v="0"/>
    <n v="1497.27"/>
    <x v="0"/>
    <n v="1877"/>
    <x v="1"/>
    <s v="Bireysel"/>
    <x v="0"/>
    <x v="0"/>
  </r>
  <r>
    <n v="812"/>
    <x v="9"/>
    <x v="3"/>
    <x v="0"/>
    <x v="0"/>
    <n v="1626.36"/>
    <x v="3"/>
    <n v="1968.9"/>
    <x v="1"/>
    <s v="Bireysel"/>
    <x v="0"/>
    <x v="1"/>
  </r>
  <r>
    <n v="813"/>
    <x v="7"/>
    <x v="0"/>
    <x v="0"/>
    <x v="0"/>
    <n v="1415.14"/>
    <x v="0"/>
    <n v="1603.1"/>
    <x v="1"/>
    <s v="Kurumsal"/>
    <x v="1"/>
    <x v="0"/>
  </r>
  <r>
    <n v="814"/>
    <x v="1"/>
    <x v="7"/>
    <x v="0"/>
    <x v="0"/>
    <n v="1934.69"/>
    <x v="3"/>
    <n v="1525.7"/>
    <x v="1"/>
    <s v="Bireysel"/>
    <x v="0"/>
    <x v="0"/>
  </r>
  <r>
    <n v="815"/>
    <x v="6"/>
    <x v="1"/>
    <x v="1"/>
    <x v="1"/>
    <n v="1654.17"/>
    <x v="3"/>
    <n v="1377.1"/>
    <x v="0"/>
    <s v="Bireysel"/>
    <x v="0"/>
    <x v="0"/>
  </r>
  <r>
    <n v="816"/>
    <x v="7"/>
    <x v="6"/>
    <x v="0"/>
    <x v="0"/>
    <n v="1806.67"/>
    <x v="3"/>
    <n v="373.8"/>
    <x v="3"/>
    <s v="Bireysel"/>
    <x v="0"/>
    <x v="0"/>
  </r>
  <r>
    <n v="817"/>
    <x v="2"/>
    <x v="3"/>
    <x v="0"/>
    <x v="0"/>
    <n v="1867.47"/>
    <x v="3"/>
    <n v="165.3"/>
    <x v="3"/>
    <s v="Bireysel"/>
    <x v="0"/>
    <x v="1"/>
  </r>
  <r>
    <n v="818"/>
    <x v="2"/>
    <x v="6"/>
    <x v="1"/>
    <x v="1"/>
    <n v="1603.69"/>
    <x v="3"/>
    <n v="1396.9"/>
    <x v="0"/>
    <s v="Bireysel"/>
    <x v="0"/>
    <x v="0"/>
  </r>
  <r>
    <n v="819"/>
    <x v="8"/>
    <x v="9"/>
    <x v="0"/>
    <x v="0"/>
    <n v="1350.15"/>
    <x v="0"/>
    <n v="1471.1"/>
    <x v="0"/>
    <s v="Kurumsal"/>
    <x v="1"/>
    <x v="0"/>
  </r>
  <r>
    <n v="820"/>
    <x v="5"/>
    <x v="0"/>
    <x v="1"/>
    <x v="1"/>
    <n v="16.41"/>
    <x v="2"/>
    <n v="141.6"/>
    <x v="3"/>
    <s v="Bireysel"/>
    <x v="0"/>
    <x v="0"/>
  </r>
  <r>
    <n v="821"/>
    <x v="4"/>
    <x v="7"/>
    <x v="0"/>
    <x v="0"/>
    <n v="934.32"/>
    <x v="1"/>
    <n v="1859.7"/>
    <x v="1"/>
    <s v="Kurumsal"/>
    <x v="1"/>
    <x v="0"/>
  </r>
  <r>
    <n v="822"/>
    <x v="9"/>
    <x v="7"/>
    <x v="0"/>
    <x v="0"/>
    <n v="1144.47"/>
    <x v="0"/>
    <n v="227.7"/>
    <x v="3"/>
    <s v="Bireysel"/>
    <x v="0"/>
    <x v="0"/>
  </r>
  <r>
    <n v="823"/>
    <x v="3"/>
    <x v="4"/>
    <x v="0"/>
    <x v="0"/>
    <n v="611.54"/>
    <x v="1"/>
    <n v="607.5"/>
    <x v="2"/>
    <s v="Bireysel"/>
    <x v="0"/>
    <x v="0"/>
  </r>
  <r>
    <n v="824"/>
    <x v="6"/>
    <x v="4"/>
    <x v="0"/>
    <x v="0"/>
    <n v="639.62"/>
    <x v="1"/>
    <n v="1361.2"/>
    <x v="0"/>
    <s v="Bireysel"/>
    <x v="0"/>
    <x v="0"/>
  </r>
  <r>
    <n v="825"/>
    <x v="1"/>
    <x v="9"/>
    <x v="2"/>
    <x v="2"/>
    <n v="1922.51"/>
    <x v="3"/>
    <n v="381.3"/>
    <x v="3"/>
    <s v="Bireysel"/>
    <x v="0"/>
    <x v="0"/>
  </r>
  <r>
    <n v="826"/>
    <x v="4"/>
    <x v="9"/>
    <x v="0"/>
    <x v="0"/>
    <n v="1783.96"/>
    <x v="3"/>
    <n v="158.1"/>
    <x v="3"/>
    <s v="Bireysel"/>
    <x v="0"/>
    <x v="0"/>
  </r>
  <r>
    <n v="827"/>
    <x v="7"/>
    <x v="0"/>
    <x v="2"/>
    <x v="2"/>
    <n v="1699.11"/>
    <x v="3"/>
    <n v="695.7"/>
    <x v="2"/>
    <s v="Bireysel"/>
    <x v="0"/>
    <x v="0"/>
  </r>
  <r>
    <n v="828"/>
    <x v="2"/>
    <x v="4"/>
    <x v="0"/>
    <x v="0"/>
    <n v="814.99"/>
    <x v="1"/>
    <n v="1543.6"/>
    <x v="1"/>
    <s v="Kurumsal"/>
    <x v="1"/>
    <x v="0"/>
  </r>
  <r>
    <n v="829"/>
    <x v="6"/>
    <x v="1"/>
    <x v="0"/>
    <x v="0"/>
    <n v="32.33"/>
    <x v="2"/>
    <n v="856.7"/>
    <x v="2"/>
    <s v="Bireysel"/>
    <x v="0"/>
    <x v="1"/>
  </r>
  <r>
    <n v="830"/>
    <x v="3"/>
    <x v="1"/>
    <x v="0"/>
    <x v="0"/>
    <n v="165.04"/>
    <x v="2"/>
    <n v="1323.3"/>
    <x v="0"/>
    <s v="Kurumsal"/>
    <x v="1"/>
    <x v="0"/>
  </r>
  <r>
    <n v="831"/>
    <x v="9"/>
    <x v="0"/>
    <x v="0"/>
    <x v="0"/>
    <n v="627.83000000000004"/>
    <x v="1"/>
    <n v="1180.3"/>
    <x v="0"/>
    <s v="Bireysel"/>
    <x v="0"/>
    <x v="0"/>
  </r>
  <r>
    <n v="832"/>
    <x v="8"/>
    <x v="1"/>
    <x v="2"/>
    <x v="2"/>
    <n v="36.409999999999997"/>
    <x v="2"/>
    <n v="93.3"/>
    <x v="3"/>
    <s v="Kurumsal"/>
    <x v="1"/>
    <x v="0"/>
  </r>
  <r>
    <n v="833"/>
    <x v="3"/>
    <x v="5"/>
    <x v="0"/>
    <x v="0"/>
    <n v="39.21"/>
    <x v="2"/>
    <n v="1977.7"/>
    <x v="1"/>
    <s v="Kurumsal"/>
    <x v="1"/>
    <x v="0"/>
  </r>
  <r>
    <n v="834"/>
    <x v="6"/>
    <x v="2"/>
    <x v="0"/>
    <x v="0"/>
    <n v="1833.62"/>
    <x v="3"/>
    <n v="130.80000000000001"/>
    <x v="3"/>
    <s v="Bireysel"/>
    <x v="0"/>
    <x v="1"/>
  </r>
  <r>
    <n v="835"/>
    <x v="3"/>
    <x v="0"/>
    <x v="0"/>
    <x v="0"/>
    <n v="1413.79"/>
    <x v="0"/>
    <n v="1937.2"/>
    <x v="1"/>
    <s v="Kurumsal"/>
    <x v="1"/>
    <x v="0"/>
  </r>
  <r>
    <n v="836"/>
    <x v="6"/>
    <x v="0"/>
    <x v="0"/>
    <x v="0"/>
    <n v="621.37"/>
    <x v="1"/>
    <n v="1122.2"/>
    <x v="0"/>
    <s v="Bireysel"/>
    <x v="0"/>
    <x v="0"/>
  </r>
  <r>
    <n v="837"/>
    <x v="6"/>
    <x v="8"/>
    <x v="0"/>
    <x v="0"/>
    <n v="269.63"/>
    <x v="2"/>
    <n v="1928.2"/>
    <x v="1"/>
    <s v="Kurumsal"/>
    <x v="1"/>
    <x v="0"/>
  </r>
  <r>
    <n v="838"/>
    <x v="0"/>
    <x v="3"/>
    <x v="0"/>
    <x v="0"/>
    <n v="1025.71"/>
    <x v="0"/>
    <n v="273.8"/>
    <x v="3"/>
    <s v="Bireysel"/>
    <x v="0"/>
    <x v="0"/>
  </r>
  <r>
    <n v="839"/>
    <x v="1"/>
    <x v="3"/>
    <x v="1"/>
    <x v="1"/>
    <n v="15.67"/>
    <x v="2"/>
    <n v="1006.3"/>
    <x v="0"/>
    <s v="Bireysel"/>
    <x v="0"/>
    <x v="0"/>
  </r>
  <r>
    <n v="840"/>
    <x v="2"/>
    <x v="5"/>
    <x v="0"/>
    <x v="0"/>
    <n v="1877.14"/>
    <x v="3"/>
    <n v="380.5"/>
    <x v="3"/>
    <s v="Kurumsal"/>
    <x v="1"/>
    <x v="0"/>
  </r>
  <r>
    <n v="841"/>
    <x v="0"/>
    <x v="4"/>
    <x v="0"/>
    <x v="0"/>
    <n v="832.56"/>
    <x v="1"/>
    <n v="149.4"/>
    <x v="3"/>
    <s v="Bireysel"/>
    <x v="0"/>
    <x v="0"/>
  </r>
  <r>
    <n v="842"/>
    <x v="9"/>
    <x v="9"/>
    <x v="0"/>
    <x v="0"/>
    <n v="807.66"/>
    <x v="1"/>
    <n v="1254.2"/>
    <x v="0"/>
    <s v="Bireysel"/>
    <x v="0"/>
    <x v="0"/>
  </r>
  <r>
    <n v="843"/>
    <x v="0"/>
    <x v="9"/>
    <x v="0"/>
    <x v="0"/>
    <n v="784.23"/>
    <x v="1"/>
    <n v="455.2"/>
    <x v="3"/>
    <s v="Kurumsal"/>
    <x v="1"/>
    <x v="0"/>
  </r>
  <r>
    <n v="844"/>
    <x v="5"/>
    <x v="6"/>
    <x v="2"/>
    <x v="2"/>
    <n v="143.31"/>
    <x v="2"/>
    <n v="1196"/>
    <x v="0"/>
    <s v="Bireysel"/>
    <x v="0"/>
    <x v="0"/>
  </r>
  <r>
    <n v="845"/>
    <x v="5"/>
    <x v="5"/>
    <x v="0"/>
    <x v="0"/>
    <n v="1278.45"/>
    <x v="0"/>
    <n v="269.10000000000002"/>
    <x v="3"/>
    <s v="Bireysel"/>
    <x v="0"/>
    <x v="0"/>
  </r>
  <r>
    <n v="846"/>
    <x v="2"/>
    <x v="0"/>
    <x v="0"/>
    <x v="0"/>
    <n v="1467.34"/>
    <x v="0"/>
    <n v="697.4"/>
    <x v="2"/>
    <s v="Bireysel"/>
    <x v="0"/>
    <x v="0"/>
  </r>
  <r>
    <n v="847"/>
    <x v="3"/>
    <x v="5"/>
    <x v="1"/>
    <x v="1"/>
    <n v="1353.87"/>
    <x v="0"/>
    <n v="1574.2"/>
    <x v="1"/>
    <s v="Bireysel"/>
    <x v="0"/>
    <x v="0"/>
  </r>
  <r>
    <n v="848"/>
    <x v="1"/>
    <x v="5"/>
    <x v="0"/>
    <x v="0"/>
    <n v="281.18"/>
    <x v="2"/>
    <n v="902.3"/>
    <x v="2"/>
    <s v="Kurumsal"/>
    <x v="1"/>
    <x v="0"/>
  </r>
  <r>
    <n v="849"/>
    <x v="2"/>
    <x v="5"/>
    <x v="0"/>
    <x v="0"/>
    <n v="1159.79"/>
    <x v="0"/>
    <n v="1274.0999999999999"/>
    <x v="0"/>
    <s v="Bireysel"/>
    <x v="0"/>
    <x v="0"/>
  </r>
  <r>
    <n v="850"/>
    <x v="6"/>
    <x v="3"/>
    <x v="2"/>
    <x v="2"/>
    <n v="1141.1199999999999"/>
    <x v="0"/>
    <n v="1312.5"/>
    <x v="0"/>
    <s v="Bireysel"/>
    <x v="0"/>
    <x v="0"/>
  </r>
  <r>
    <n v="851"/>
    <x v="7"/>
    <x v="5"/>
    <x v="1"/>
    <x v="1"/>
    <n v="1737.48"/>
    <x v="3"/>
    <n v="1695.3"/>
    <x v="1"/>
    <s v="Bireysel"/>
    <x v="0"/>
    <x v="1"/>
  </r>
  <r>
    <n v="852"/>
    <x v="1"/>
    <x v="5"/>
    <x v="2"/>
    <x v="2"/>
    <n v="761.36"/>
    <x v="1"/>
    <n v="683.6"/>
    <x v="2"/>
    <s v="Kurumsal"/>
    <x v="1"/>
    <x v="1"/>
  </r>
  <r>
    <n v="853"/>
    <x v="1"/>
    <x v="9"/>
    <x v="0"/>
    <x v="0"/>
    <n v="746.11"/>
    <x v="1"/>
    <n v="1390.2"/>
    <x v="0"/>
    <s v="Bireysel"/>
    <x v="0"/>
    <x v="0"/>
  </r>
  <r>
    <n v="854"/>
    <x v="6"/>
    <x v="1"/>
    <x v="0"/>
    <x v="0"/>
    <n v="1238.96"/>
    <x v="0"/>
    <n v="1925.2"/>
    <x v="1"/>
    <s v="Bireysel"/>
    <x v="0"/>
    <x v="0"/>
  </r>
  <r>
    <n v="855"/>
    <x v="6"/>
    <x v="2"/>
    <x v="0"/>
    <x v="0"/>
    <n v="1267.98"/>
    <x v="0"/>
    <n v="1474"/>
    <x v="0"/>
    <s v="Kurumsal"/>
    <x v="1"/>
    <x v="0"/>
  </r>
  <r>
    <n v="856"/>
    <x v="8"/>
    <x v="6"/>
    <x v="0"/>
    <x v="0"/>
    <n v="941.22"/>
    <x v="1"/>
    <n v="1005.2"/>
    <x v="0"/>
    <s v="Bireysel"/>
    <x v="0"/>
    <x v="0"/>
  </r>
  <r>
    <n v="857"/>
    <x v="2"/>
    <x v="8"/>
    <x v="1"/>
    <x v="1"/>
    <n v="88.89"/>
    <x v="2"/>
    <n v="1279.9000000000001"/>
    <x v="0"/>
    <s v="Bireysel"/>
    <x v="0"/>
    <x v="0"/>
  </r>
  <r>
    <n v="858"/>
    <x v="6"/>
    <x v="9"/>
    <x v="0"/>
    <x v="0"/>
    <n v="990.82"/>
    <x v="1"/>
    <n v="1492.4"/>
    <x v="0"/>
    <s v="Bireysel"/>
    <x v="0"/>
    <x v="0"/>
  </r>
  <r>
    <n v="859"/>
    <x v="5"/>
    <x v="9"/>
    <x v="1"/>
    <x v="1"/>
    <n v="1722.79"/>
    <x v="3"/>
    <n v="1243.9000000000001"/>
    <x v="0"/>
    <s v="Bireysel"/>
    <x v="0"/>
    <x v="1"/>
  </r>
  <r>
    <n v="860"/>
    <x v="9"/>
    <x v="9"/>
    <x v="1"/>
    <x v="1"/>
    <n v="925.03"/>
    <x v="1"/>
    <n v="82.5"/>
    <x v="3"/>
    <s v="Bireysel"/>
    <x v="0"/>
    <x v="0"/>
  </r>
  <r>
    <n v="861"/>
    <x v="7"/>
    <x v="5"/>
    <x v="0"/>
    <x v="0"/>
    <n v="1880.16"/>
    <x v="3"/>
    <n v="429.8"/>
    <x v="3"/>
    <s v="Bireysel"/>
    <x v="0"/>
    <x v="0"/>
  </r>
  <r>
    <n v="862"/>
    <x v="2"/>
    <x v="7"/>
    <x v="0"/>
    <x v="0"/>
    <n v="1010.49"/>
    <x v="0"/>
    <n v="1630.4"/>
    <x v="1"/>
    <s v="Kurumsal"/>
    <x v="1"/>
    <x v="0"/>
  </r>
  <r>
    <n v="863"/>
    <x v="4"/>
    <x v="8"/>
    <x v="1"/>
    <x v="1"/>
    <n v="1898.66"/>
    <x v="3"/>
    <n v="581.70000000000005"/>
    <x v="2"/>
    <s v="Bireysel"/>
    <x v="0"/>
    <x v="0"/>
  </r>
  <r>
    <n v="864"/>
    <x v="5"/>
    <x v="0"/>
    <x v="0"/>
    <x v="0"/>
    <n v="166.65"/>
    <x v="2"/>
    <n v="1476.5"/>
    <x v="0"/>
    <s v="Kurumsal"/>
    <x v="1"/>
    <x v="0"/>
  </r>
  <r>
    <n v="865"/>
    <x v="3"/>
    <x v="1"/>
    <x v="1"/>
    <x v="1"/>
    <n v="728.05"/>
    <x v="1"/>
    <n v="775.6"/>
    <x v="2"/>
    <s v="Bireysel"/>
    <x v="0"/>
    <x v="0"/>
  </r>
  <r>
    <n v="866"/>
    <x v="6"/>
    <x v="1"/>
    <x v="0"/>
    <x v="0"/>
    <n v="1727.96"/>
    <x v="3"/>
    <n v="1067.7"/>
    <x v="0"/>
    <s v="Kurumsal"/>
    <x v="1"/>
    <x v="0"/>
  </r>
  <r>
    <n v="867"/>
    <x v="4"/>
    <x v="7"/>
    <x v="0"/>
    <x v="0"/>
    <n v="224.58"/>
    <x v="2"/>
    <n v="182.5"/>
    <x v="3"/>
    <s v="Kurumsal"/>
    <x v="1"/>
    <x v="0"/>
  </r>
  <r>
    <n v="868"/>
    <x v="6"/>
    <x v="5"/>
    <x v="0"/>
    <x v="0"/>
    <n v="1850.47"/>
    <x v="3"/>
    <n v="403.4"/>
    <x v="3"/>
    <s v="Bireysel"/>
    <x v="0"/>
    <x v="0"/>
  </r>
  <r>
    <n v="869"/>
    <x v="1"/>
    <x v="3"/>
    <x v="2"/>
    <x v="2"/>
    <n v="1265.1300000000001"/>
    <x v="0"/>
    <n v="1916.5"/>
    <x v="1"/>
    <s v="Bireysel"/>
    <x v="0"/>
    <x v="0"/>
  </r>
  <r>
    <n v="870"/>
    <x v="5"/>
    <x v="0"/>
    <x v="0"/>
    <x v="0"/>
    <n v="113.51"/>
    <x v="2"/>
    <n v="1785.8"/>
    <x v="1"/>
    <s v="Bireysel"/>
    <x v="0"/>
    <x v="0"/>
  </r>
  <r>
    <n v="871"/>
    <x v="1"/>
    <x v="4"/>
    <x v="1"/>
    <x v="1"/>
    <n v="1290.29"/>
    <x v="0"/>
    <n v="1321.9"/>
    <x v="0"/>
    <s v="Kurumsal"/>
    <x v="1"/>
    <x v="0"/>
  </r>
  <r>
    <n v="872"/>
    <x v="8"/>
    <x v="7"/>
    <x v="0"/>
    <x v="0"/>
    <n v="1948.62"/>
    <x v="3"/>
    <n v="946.3"/>
    <x v="2"/>
    <s v="Kurumsal"/>
    <x v="1"/>
    <x v="0"/>
  </r>
  <r>
    <n v="873"/>
    <x v="1"/>
    <x v="3"/>
    <x v="1"/>
    <x v="1"/>
    <n v="144.25"/>
    <x v="2"/>
    <n v="1367.7"/>
    <x v="0"/>
    <s v="Bireysel"/>
    <x v="0"/>
    <x v="1"/>
  </r>
  <r>
    <n v="874"/>
    <x v="8"/>
    <x v="8"/>
    <x v="1"/>
    <x v="1"/>
    <n v="111.16"/>
    <x v="2"/>
    <n v="1256.3"/>
    <x v="0"/>
    <s v="Bireysel"/>
    <x v="0"/>
    <x v="0"/>
  </r>
  <r>
    <n v="875"/>
    <x v="8"/>
    <x v="5"/>
    <x v="0"/>
    <x v="0"/>
    <n v="1496.85"/>
    <x v="0"/>
    <n v="1158.7"/>
    <x v="0"/>
    <s v="Bireysel"/>
    <x v="0"/>
    <x v="1"/>
  </r>
  <r>
    <n v="876"/>
    <x v="4"/>
    <x v="0"/>
    <x v="0"/>
    <x v="0"/>
    <n v="1621.47"/>
    <x v="3"/>
    <n v="165.4"/>
    <x v="3"/>
    <s v="Kurumsal"/>
    <x v="1"/>
    <x v="1"/>
  </r>
  <r>
    <n v="877"/>
    <x v="6"/>
    <x v="0"/>
    <x v="1"/>
    <x v="1"/>
    <n v="830.59"/>
    <x v="1"/>
    <n v="1284"/>
    <x v="0"/>
    <s v="Bireysel"/>
    <x v="0"/>
    <x v="0"/>
  </r>
  <r>
    <n v="878"/>
    <x v="3"/>
    <x v="0"/>
    <x v="0"/>
    <x v="0"/>
    <n v="412.31"/>
    <x v="2"/>
    <n v="1549.4"/>
    <x v="1"/>
    <s v="Bireysel"/>
    <x v="0"/>
    <x v="0"/>
  </r>
  <r>
    <n v="879"/>
    <x v="1"/>
    <x v="8"/>
    <x v="1"/>
    <x v="1"/>
    <n v="89.47"/>
    <x v="2"/>
    <n v="1988.5"/>
    <x v="1"/>
    <s v="Bireysel"/>
    <x v="0"/>
    <x v="1"/>
  </r>
  <r>
    <n v="880"/>
    <x v="5"/>
    <x v="6"/>
    <x v="0"/>
    <x v="0"/>
    <n v="1161.55"/>
    <x v="0"/>
    <n v="71.599999999999994"/>
    <x v="3"/>
    <s v="Bireysel"/>
    <x v="0"/>
    <x v="0"/>
  </r>
  <r>
    <n v="881"/>
    <x v="8"/>
    <x v="4"/>
    <x v="1"/>
    <x v="1"/>
    <n v="908.56"/>
    <x v="1"/>
    <n v="1473.8"/>
    <x v="0"/>
    <s v="Kurumsal"/>
    <x v="1"/>
    <x v="0"/>
  </r>
  <r>
    <n v="882"/>
    <x v="6"/>
    <x v="8"/>
    <x v="1"/>
    <x v="1"/>
    <n v="1897.75"/>
    <x v="3"/>
    <n v="1165"/>
    <x v="0"/>
    <s v="Bireysel"/>
    <x v="0"/>
    <x v="1"/>
  </r>
  <r>
    <n v="883"/>
    <x v="7"/>
    <x v="1"/>
    <x v="2"/>
    <x v="2"/>
    <n v="125.91"/>
    <x v="2"/>
    <n v="896.4"/>
    <x v="2"/>
    <s v="Bireysel"/>
    <x v="0"/>
    <x v="0"/>
  </r>
  <r>
    <n v="884"/>
    <x v="2"/>
    <x v="4"/>
    <x v="0"/>
    <x v="0"/>
    <n v="1372.36"/>
    <x v="0"/>
    <n v="298.8"/>
    <x v="3"/>
    <s v="Bireysel"/>
    <x v="0"/>
    <x v="0"/>
  </r>
  <r>
    <n v="885"/>
    <x v="4"/>
    <x v="9"/>
    <x v="0"/>
    <x v="0"/>
    <n v="54.81"/>
    <x v="2"/>
    <n v="847.7"/>
    <x v="2"/>
    <s v="Bireysel"/>
    <x v="0"/>
    <x v="0"/>
  </r>
  <r>
    <n v="886"/>
    <x v="3"/>
    <x v="5"/>
    <x v="0"/>
    <x v="0"/>
    <n v="347.01"/>
    <x v="2"/>
    <n v="741"/>
    <x v="2"/>
    <s v="Bireysel"/>
    <x v="0"/>
    <x v="0"/>
  </r>
  <r>
    <n v="887"/>
    <x v="0"/>
    <x v="8"/>
    <x v="0"/>
    <x v="0"/>
    <n v="909.89"/>
    <x v="1"/>
    <n v="640.5"/>
    <x v="2"/>
    <s v="Kurumsal"/>
    <x v="1"/>
    <x v="0"/>
  </r>
  <r>
    <n v="888"/>
    <x v="4"/>
    <x v="3"/>
    <x v="0"/>
    <x v="0"/>
    <n v="912.47"/>
    <x v="1"/>
    <n v="1475.2"/>
    <x v="0"/>
    <s v="Kurumsal"/>
    <x v="1"/>
    <x v="0"/>
  </r>
  <r>
    <n v="889"/>
    <x v="7"/>
    <x v="4"/>
    <x v="0"/>
    <x v="0"/>
    <n v="1372.97"/>
    <x v="0"/>
    <n v="1416.4"/>
    <x v="0"/>
    <s v="Bireysel"/>
    <x v="0"/>
    <x v="0"/>
  </r>
  <r>
    <n v="890"/>
    <x v="2"/>
    <x v="2"/>
    <x v="1"/>
    <x v="1"/>
    <n v="1820.88"/>
    <x v="3"/>
    <n v="1198.5999999999999"/>
    <x v="0"/>
    <s v="Bireysel"/>
    <x v="0"/>
    <x v="0"/>
  </r>
  <r>
    <n v="891"/>
    <x v="7"/>
    <x v="0"/>
    <x v="0"/>
    <x v="0"/>
    <n v="1279.8699999999999"/>
    <x v="0"/>
    <n v="1880.4"/>
    <x v="1"/>
    <s v="Kurumsal"/>
    <x v="1"/>
    <x v="0"/>
  </r>
  <r>
    <n v="892"/>
    <x v="1"/>
    <x v="6"/>
    <x v="0"/>
    <x v="0"/>
    <n v="190.73"/>
    <x v="2"/>
    <n v="732.2"/>
    <x v="2"/>
    <s v="Bireysel"/>
    <x v="0"/>
    <x v="0"/>
  </r>
  <r>
    <n v="893"/>
    <x v="8"/>
    <x v="3"/>
    <x v="1"/>
    <x v="1"/>
    <n v="1763.82"/>
    <x v="3"/>
    <n v="525.4"/>
    <x v="2"/>
    <s v="Bireysel"/>
    <x v="0"/>
    <x v="0"/>
  </r>
  <r>
    <n v="894"/>
    <x v="3"/>
    <x v="4"/>
    <x v="0"/>
    <x v="0"/>
    <n v="1171.08"/>
    <x v="0"/>
    <n v="1329"/>
    <x v="0"/>
    <s v="Kurumsal"/>
    <x v="1"/>
    <x v="0"/>
  </r>
  <r>
    <n v="895"/>
    <x v="9"/>
    <x v="4"/>
    <x v="0"/>
    <x v="0"/>
    <n v="1668.41"/>
    <x v="3"/>
    <n v="437.7"/>
    <x v="3"/>
    <s v="Kurumsal"/>
    <x v="1"/>
    <x v="0"/>
  </r>
  <r>
    <n v="896"/>
    <x v="8"/>
    <x v="3"/>
    <x v="2"/>
    <x v="2"/>
    <n v="1286.94"/>
    <x v="0"/>
    <n v="664.3"/>
    <x v="2"/>
    <s v="Kurumsal"/>
    <x v="1"/>
    <x v="0"/>
  </r>
  <r>
    <n v="897"/>
    <x v="9"/>
    <x v="9"/>
    <x v="2"/>
    <x v="2"/>
    <n v="161.72"/>
    <x v="2"/>
    <n v="488"/>
    <x v="3"/>
    <s v="Kurumsal"/>
    <x v="1"/>
    <x v="1"/>
  </r>
  <r>
    <n v="898"/>
    <x v="2"/>
    <x v="3"/>
    <x v="0"/>
    <x v="0"/>
    <n v="1482.43"/>
    <x v="0"/>
    <n v="184.8"/>
    <x v="3"/>
    <s v="Kurumsal"/>
    <x v="1"/>
    <x v="0"/>
  </r>
  <r>
    <n v="899"/>
    <x v="6"/>
    <x v="2"/>
    <x v="0"/>
    <x v="0"/>
    <n v="194.34"/>
    <x v="2"/>
    <n v="1663.6"/>
    <x v="1"/>
    <s v="Bireysel"/>
    <x v="0"/>
    <x v="0"/>
  </r>
  <r>
    <n v="900"/>
    <x v="0"/>
    <x v="1"/>
    <x v="1"/>
    <x v="1"/>
    <n v="119.02"/>
    <x v="2"/>
    <n v="546.4"/>
    <x v="2"/>
    <s v="Bireysel"/>
    <x v="0"/>
    <x v="0"/>
  </r>
  <r>
    <n v="901"/>
    <x v="5"/>
    <x v="6"/>
    <x v="0"/>
    <x v="0"/>
    <n v="1406.77"/>
    <x v="0"/>
    <n v="972.4"/>
    <x v="2"/>
    <s v="Bireysel"/>
    <x v="0"/>
    <x v="0"/>
  </r>
  <r>
    <n v="902"/>
    <x v="8"/>
    <x v="9"/>
    <x v="0"/>
    <x v="0"/>
    <n v="137.72"/>
    <x v="2"/>
    <n v="134.5"/>
    <x v="3"/>
    <s v="Bireysel"/>
    <x v="0"/>
    <x v="0"/>
  </r>
  <r>
    <n v="903"/>
    <x v="3"/>
    <x v="6"/>
    <x v="0"/>
    <x v="0"/>
    <n v="465.44"/>
    <x v="2"/>
    <n v="1413.7"/>
    <x v="0"/>
    <s v="Bireysel"/>
    <x v="0"/>
    <x v="0"/>
  </r>
  <r>
    <n v="904"/>
    <x v="7"/>
    <x v="7"/>
    <x v="0"/>
    <x v="0"/>
    <n v="1831.77"/>
    <x v="3"/>
    <n v="694.6"/>
    <x v="2"/>
    <s v="Bireysel"/>
    <x v="0"/>
    <x v="0"/>
  </r>
  <r>
    <n v="905"/>
    <x v="3"/>
    <x v="7"/>
    <x v="0"/>
    <x v="0"/>
    <n v="1234.55"/>
    <x v="0"/>
    <n v="1502.2"/>
    <x v="1"/>
    <s v="Bireysel"/>
    <x v="0"/>
    <x v="0"/>
  </r>
  <r>
    <n v="906"/>
    <x v="2"/>
    <x v="3"/>
    <x v="0"/>
    <x v="0"/>
    <n v="496.34"/>
    <x v="2"/>
    <n v="854.2"/>
    <x v="2"/>
    <s v="Bireysel"/>
    <x v="0"/>
    <x v="0"/>
  </r>
  <r>
    <n v="907"/>
    <x v="9"/>
    <x v="4"/>
    <x v="1"/>
    <x v="1"/>
    <n v="1382.91"/>
    <x v="0"/>
    <n v="431.7"/>
    <x v="3"/>
    <s v="Bireysel"/>
    <x v="0"/>
    <x v="0"/>
  </r>
  <r>
    <n v="908"/>
    <x v="7"/>
    <x v="2"/>
    <x v="2"/>
    <x v="2"/>
    <n v="1195.57"/>
    <x v="0"/>
    <n v="1050.7"/>
    <x v="0"/>
    <s v="Bireysel"/>
    <x v="0"/>
    <x v="0"/>
  </r>
  <r>
    <n v="909"/>
    <x v="5"/>
    <x v="3"/>
    <x v="0"/>
    <x v="0"/>
    <n v="1005.64"/>
    <x v="0"/>
    <n v="304.5"/>
    <x v="3"/>
    <s v="Bireysel"/>
    <x v="0"/>
    <x v="1"/>
  </r>
  <r>
    <n v="910"/>
    <x v="5"/>
    <x v="2"/>
    <x v="1"/>
    <x v="1"/>
    <n v="1952.49"/>
    <x v="3"/>
    <n v="909.1"/>
    <x v="2"/>
    <s v="Kurumsal"/>
    <x v="1"/>
    <x v="0"/>
  </r>
  <r>
    <n v="911"/>
    <x v="8"/>
    <x v="3"/>
    <x v="1"/>
    <x v="1"/>
    <n v="1368.49"/>
    <x v="0"/>
    <n v="668.7"/>
    <x v="2"/>
    <s v="Bireysel"/>
    <x v="0"/>
    <x v="0"/>
  </r>
  <r>
    <n v="912"/>
    <x v="2"/>
    <x v="6"/>
    <x v="0"/>
    <x v="0"/>
    <n v="754.01"/>
    <x v="1"/>
    <n v="1828.3"/>
    <x v="1"/>
    <s v="Bireysel"/>
    <x v="0"/>
    <x v="0"/>
  </r>
  <r>
    <n v="913"/>
    <x v="6"/>
    <x v="8"/>
    <x v="0"/>
    <x v="0"/>
    <n v="1601.15"/>
    <x v="3"/>
    <n v="168.8"/>
    <x v="3"/>
    <s v="Kurumsal"/>
    <x v="1"/>
    <x v="1"/>
  </r>
  <r>
    <n v="914"/>
    <x v="2"/>
    <x v="9"/>
    <x v="1"/>
    <x v="1"/>
    <n v="1769.74"/>
    <x v="3"/>
    <n v="1403.3"/>
    <x v="0"/>
    <s v="Bireysel"/>
    <x v="0"/>
    <x v="0"/>
  </r>
  <r>
    <n v="915"/>
    <x v="9"/>
    <x v="2"/>
    <x v="0"/>
    <x v="0"/>
    <n v="254.82"/>
    <x v="2"/>
    <n v="406.4"/>
    <x v="3"/>
    <s v="Bireysel"/>
    <x v="0"/>
    <x v="1"/>
  </r>
  <r>
    <n v="916"/>
    <x v="3"/>
    <x v="0"/>
    <x v="1"/>
    <x v="1"/>
    <n v="40.51"/>
    <x v="2"/>
    <n v="672.1"/>
    <x v="2"/>
    <s v="Bireysel"/>
    <x v="0"/>
    <x v="0"/>
  </r>
  <r>
    <n v="917"/>
    <x v="5"/>
    <x v="2"/>
    <x v="0"/>
    <x v="0"/>
    <n v="436.37"/>
    <x v="2"/>
    <n v="860.3"/>
    <x v="2"/>
    <s v="Bireysel"/>
    <x v="0"/>
    <x v="0"/>
  </r>
  <r>
    <n v="918"/>
    <x v="3"/>
    <x v="8"/>
    <x v="2"/>
    <x v="2"/>
    <n v="1383.97"/>
    <x v="0"/>
    <n v="1820.6"/>
    <x v="1"/>
    <s v="Kurumsal"/>
    <x v="1"/>
    <x v="0"/>
  </r>
  <r>
    <n v="919"/>
    <x v="3"/>
    <x v="1"/>
    <x v="0"/>
    <x v="0"/>
    <n v="1208.06"/>
    <x v="0"/>
    <n v="523"/>
    <x v="2"/>
    <s v="Bireysel"/>
    <x v="0"/>
    <x v="0"/>
  </r>
  <r>
    <n v="920"/>
    <x v="3"/>
    <x v="4"/>
    <x v="0"/>
    <x v="0"/>
    <n v="1239.8900000000001"/>
    <x v="0"/>
    <n v="228.1"/>
    <x v="3"/>
    <s v="Bireysel"/>
    <x v="0"/>
    <x v="0"/>
  </r>
  <r>
    <n v="921"/>
    <x v="5"/>
    <x v="2"/>
    <x v="1"/>
    <x v="1"/>
    <n v="1881.84"/>
    <x v="3"/>
    <n v="671.4"/>
    <x v="2"/>
    <s v="Bireysel"/>
    <x v="0"/>
    <x v="0"/>
  </r>
  <r>
    <n v="922"/>
    <x v="4"/>
    <x v="9"/>
    <x v="0"/>
    <x v="0"/>
    <n v="1552.94"/>
    <x v="3"/>
    <n v="254.1"/>
    <x v="3"/>
    <s v="Bireysel"/>
    <x v="0"/>
    <x v="0"/>
  </r>
  <r>
    <n v="923"/>
    <x v="1"/>
    <x v="9"/>
    <x v="0"/>
    <x v="0"/>
    <n v="260.23"/>
    <x v="2"/>
    <n v="300.8"/>
    <x v="3"/>
    <s v="Bireysel"/>
    <x v="0"/>
    <x v="1"/>
  </r>
  <r>
    <n v="924"/>
    <x v="9"/>
    <x v="0"/>
    <x v="0"/>
    <x v="0"/>
    <n v="698.28"/>
    <x v="1"/>
    <n v="1169"/>
    <x v="0"/>
    <s v="Bireysel"/>
    <x v="0"/>
    <x v="0"/>
  </r>
  <r>
    <n v="925"/>
    <x v="4"/>
    <x v="2"/>
    <x v="0"/>
    <x v="0"/>
    <n v="873.61"/>
    <x v="1"/>
    <n v="168.8"/>
    <x v="3"/>
    <s v="Bireysel"/>
    <x v="0"/>
    <x v="1"/>
  </r>
  <r>
    <n v="926"/>
    <x v="9"/>
    <x v="4"/>
    <x v="0"/>
    <x v="0"/>
    <n v="794.94"/>
    <x v="1"/>
    <n v="110.3"/>
    <x v="3"/>
    <s v="Bireysel"/>
    <x v="0"/>
    <x v="0"/>
  </r>
  <r>
    <n v="927"/>
    <x v="7"/>
    <x v="5"/>
    <x v="2"/>
    <x v="2"/>
    <n v="1340.27"/>
    <x v="0"/>
    <n v="1443.1"/>
    <x v="0"/>
    <s v="Bireysel"/>
    <x v="0"/>
    <x v="0"/>
  </r>
  <r>
    <n v="928"/>
    <x v="2"/>
    <x v="7"/>
    <x v="0"/>
    <x v="0"/>
    <n v="1784.33"/>
    <x v="3"/>
    <n v="755.2"/>
    <x v="2"/>
    <s v="Bireysel"/>
    <x v="0"/>
    <x v="1"/>
  </r>
  <r>
    <n v="929"/>
    <x v="2"/>
    <x v="4"/>
    <x v="1"/>
    <x v="1"/>
    <n v="615.57000000000005"/>
    <x v="1"/>
    <n v="294.5"/>
    <x v="3"/>
    <s v="Bireysel"/>
    <x v="0"/>
    <x v="0"/>
  </r>
  <r>
    <n v="930"/>
    <x v="0"/>
    <x v="9"/>
    <x v="1"/>
    <x v="1"/>
    <n v="1105.99"/>
    <x v="0"/>
    <n v="544.5"/>
    <x v="2"/>
    <s v="Kurumsal"/>
    <x v="1"/>
    <x v="0"/>
  </r>
  <r>
    <n v="931"/>
    <x v="2"/>
    <x v="7"/>
    <x v="2"/>
    <x v="2"/>
    <n v="1579.87"/>
    <x v="3"/>
    <n v="1302.0999999999999"/>
    <x v="0"/>
    <s v="Bireysel"/>
    <x v="0"/>
    <x v="0"/>
  </r>
  <r>
    <n v="932"/>
    <x v="5"/>
    <x v="1"/>
    <x v="0"/>
    <x v="0"/>
    <n v="835.36"/>
    <x v="1"/>
    <n v="587.29999999999995"/>
    <x v="2"/>
    <s v="Bireysel"/>
    <x v="0"/>
    <x v="0"/>
  </r>
  <r>
    <n v="933"/>
    <x v="6"/>
    <x v="0"/>
    <x v="1"/>
    <x v="1"/>
    <n v="34.04"/>
    <x v="2"/>
    <n v="1014.3"/>
    <x v="0"/>
    <s v="Bireysel"/>
    <x v="0"/>
    <x v="0"/>
  </r>
  <r>
    <n v="934"/>
    <x v="8"/>
    <x v="4"/>
    <x v="0"/>
    <x v="0"/>
    <n v="952.53"/>
    <x v="1"/>
    <n v="287.3"/>
    <x v="3"/>
    <s v="Bireysel"/>
    <x v="0"/>
    <x v="0"/>
  </r>
  <r>
    <n v="935"/>
    <x v="0"/>
    <x v="4"/>
    <x v="1"/>
    <x v="1"/>
    <n v="115.17"/>
    <x v="2"/>
    <n v="1196.8"/>
    <x v="0"/>
    <s v="Kurumsal"/>
    <x v="1"/>
    <x v="0"/>
  </r>
  <r>
    <n v="936"/>
    <x v="8"/>
    <x v="1"/>
    <x v="1"/>
    <x v="1"/>
    <n v="1885.05"/>
    <x v="3"/>
    <n v="666.4"/>
    <x v="2"/>
    <s v="Bireysel"/>
    <x v="0"/>
    <x v="1"/>
  </r>
  <r>
    <n v="937"/>
    <x v="9"/>
    <x v="2"/>
    <x v="1"/>
    <x v="1"/>
    <n v="154.27000000000001"/>
    <x v="2"/>
    <n v="1272.5999999999999"/>
    <x v="0"/>
    <s v="Kurumsal"/>
    <x v="1"/>
    <x v="0"/>
  </r>
  <r>
    <n v="938"/>
    <x v="8"/>
    <x v="2"/>
    <x v="0"/>
    <x v="0"/>
    <n v="879.72"/>
    <x v="1"/>
    <n v="1626.4"/>
    <x v="1"/>
    <s v="Bireysel"/>
    <x v="0"/>
    <x v="1"/>
  </r>
  <r>
    <n v="939"/>
    <x v="8"/>
    <x v="2"/>
    <x v="1"/>
    <x v="1"/>
    <n v="1062.1099999999999"/>
    <x v="0"/>
    <n v="1242.7"/>
    <x v="0"/>
    <s v="Kurumsal"/>
    <x v="1"/>
    <x v="0"/>
  </r>
  <r>
    <n v="940"/>
    <x v="0"/>
    <x v="6"/>
    <x v="0"/>
    <x v="0"/>
    <n v="1970.68"/>
    <x v="3"/>
    <n v="626.70000000000005"/>
    <x v="2"/>
    <s v="Bireysel"/>
    <x v="0"/>
    <x v="0"/>
  </r>
  <r>
    <n v="941"/>
    <x v="7"/>
    <x v="7"/>
    <x v="1"/>
    <x v="1"/>
    <n v="336.21"/>
    <x v="2"/>
    <n v="548.70000000000005"/>
    <x v="2"/>
    <s v="Kurumsal"/>
    <x v="1"/>
    <x v="0"/>
  </r>
  <r>
    <n v="942"/>
    <x v="3"/>
    <x v="6"/>
    <x v="2"/>
    <x v="2"/>
    <n v="233.29"/>
    <x v="2"/>
    <n v="688.5"/>
    <x v="2"/>
    <s v="Bireysel"/>
    <x v="0"/>
    <x v="0"/>
  </r>
  <r>
    <n v="943"/>
    <x v="2"/>
    <x v="0"/>
    <x v="0"/>
    <x v="0"/>
    <n v="22.37"/>
    <x v="2"/>
    <n v="371"/>
    <x v="3"/>
    <s v="Bireysel"/>
    <x v="0"/>
    <x v="1"/>
  </r>
  <r>
    <n v="944"/>
    <x v="2"/>
    <x v="2"/>
    <x v="2"/>
    <x v="2"/>
    <n v="315.37"/>
    <x v="2"/>
    <n v="403.3"/>
    <x v="3"/>
    <s v="Bireysel"/>
    <x v="0"/>
    <x v="0"/>
  </r>
  <r>
    <n v="945"/>
    <x v="5"/>
    <x v="4"/>
    <x v="0"/>
    <x v="0"/>
    <n v="418.51"/>
    <x v="2"/>
    <n v="1591.8"/>
    <x v="1"/>
    <s v="Bireysel"/>
    <x v="0"/>
    <x v="0"/>
  </r>
  <r>
    <n v="946"/>
    <x v="0"/>
    <x v="0"/>
    <x v="0"/>
    <x v="0"/>
    <n v="1263.01"/>
    <x v="0"/>
    <n v="800.2"/>
    <x v="2"/>
    <s v="Kurumsal"/>
    <x v="1"/>
    <x v="0"/>
  </r>
  <r>
    <n v="947"/>
    <x v="5"/>
    <x v="6"/>
    <x v="0"/>
    <x v="0"/>
    <n v="443.32"/>
    <x v="2"/>
    <n v="900.2"/>
    <x v="2"/>
    <s v="Bireysel"/>
    <x v="0"/>
    <x v="0"/>
  </r>
  <r>
    <n v="948"/>
    <x v="6"/>
    <x v="8"/>
    <x v="0"/>
    <x v="0"/>
    <n v="45.94"/>
    <x v="2"/>
    <n v="1208.4000000000001"/>
    <x v="0"/>
    <s v="Bireysel"/>
    <x v="0"/>
    <x v="1"/>
  </r>
  <r>
    <n v="949"/>
    <x v="6"/>
    <x v="3"/>
    <x v="1"/>
    <x v="1"/>
    <n v="165.41"/>
    <x v="2"/>
    <n v="1199.8"/>
    <x v="0"/>
    <s v="Bireysel"/>
    <x v="0"/>
    <x v="1"/>
  </r>
  <r>
    <n v="950"/>
    <x v="5"/>
    <x v="6"/>
    <x v="0"/>
    <x v="0"/>
    <n v="734.36"/>
    <x v="1"/>
    <n v="181.4"/>
    <x v="3"/>
    <s v="Bireysel"/>
    <x v="0"/>
    <x v="0"/>
  </r>
  <r>
    <n v="951"/>
    <x v="0"/>
    <x v="5"/>
    <x v="0"/>
    <x v="0"/>
    <n v="710.62"/>
    <x v="1"/>
    <n v="1671.5"/>
    <x v="1"/>
    <s v="Bireysel"/>
    <x v="0"/>
    <x v="0"/>
  </r>
  <r>
    <n v="952"/>
    <x v="5"/>
    <x v="4"/>
    <x v="2"/>
    <x v="2"/>
    <n v="608.45000000000005"/>
    <x v="1"/>
    <n v="395.8"/>
    <x v="3"/>
    <s v="Bireysel"/>
    <x v="0"/>
    <x v="0"/>
  </r>
  <r>
    <n v="953"/>
    <x v="2"/>
    <x v="5"/>
    <x v="1"/>
    <x v="1"/>
    <n v="1950.87"/>
    <x v="3"/>
    <n v="1460"/>
    <x v="0"/>
    <s v="Bireysel"/>
    <x v="0"/>
    <x v="0"/>
  </r>
  <r>
    <n v="954"/>
    <x v="4"/>
    <x v="9"/>
    <x v="1"/>
    <x v="1"/>
    <n v="344.38"/>
    <x v="2"/>
    <n v="1556.7"/>
    <x v="1"/>
    <s v="Kurumsal"/>
    <x v="1"/>
    <x v="1"/>
  </r>
  <r>
    <n v="955"/>
    <x v="1"/>
    <x v="1"/>
    <x v="1"/>
    <x v="1"/>
    <n v="1796.98"/>
    <x v="3"/>
    <n v="1444.1"/>
    <x v="0"/>
    <s v="Bireysel"/>
    <x v="0"/>
    <x v="0"/>
  </r>
  <r>
    <n v="956"/>
    <x v="8"/>
    <x v="4"/>
    <x v="1"/>
    <x v="1"/>
    <n v="1554.72"/>
    <x v="3"/>
    <n v="1179"/>
    <x v="0"/>
    <s v="Bireysel"/>
    <x v="0"/>
    <x v="0"/>
  </r>
  <r>
    <n v="957"/>
    <x v="1"/>
    <x v="5"/>
    <x v="0"/>
    <x v="0"/>
    <n v="157.58000000000001"/>
    <x v="2"/>
    <n v="78.5"/>
    <x v="3"/>
    <s v="Kurumsal"/>
    <x v="1"/>
    <x v="0"/>
  </r>
  <r>
    <n v="958"/>
    <x v="0"/>
    <x v="4"/>
    <x v="0"/>
    <x v="0"/>
    <n v="1973.52"/>
    <x v="3"/>
    <n v="752.7"/>
    <x v="2"/>
    <s v="Bireysel"/>
    <x v="0"/>
    <x v="1"/>
  </r>
  <r>
    <n v="959"/>
    <x v="1"/>
    <x v="1"/>
    <x v="1"/>
    <x v="1"/>
    <n v="546.38"/>
    <x v="1"/>
    <n v="1229.4000000000001"/>
    <x v="0"/>
    <s v="Bireysel"/>
    <x v="0"/>
    <x v="0"/>
  </r>
  <r>
    <n v="960"/>
    <x v="6"/>
    <x v="1"/>
    <x v="0"/>
    <x v="0"/>
    <n v="201.67"/>
    <x v="2"/>
    <n v="805.5"/>
    <x v="2"/>
    <s v="Bireysel"/>
    <x v="0"/>
    <x v="0"/>
  </r>
  <r>
    <n v="961"/>
    <x v="9"/>
    <x v="0"/>
    <x v="1"/>
    <x v="1"/>
    <n v="1659.48"/>
    <x v="3"/>
    <n v="1733.8"/>
    <x v="1"/>
    <s v="Bireysel"/>
    <x v="0"/>
    <x v="0"/>
  </r>
  <r>
    <n v="962"/>
    <x v="8"/>
    <x v="4"/>
    <x v="0"/>
    <x v="0"/>
    <n v="1414.82"/>
    <x v="0"/>
    <n v="652.20000000000005"/>
    <x v="2"/>
    <s v="Bireysel"/>
    <x v="0"/>
    <x v="0"/>
  </r>
  <r>
    <n v="963"/>
    <x v="3"/>
    <x v="7"/>
    <x v="0"/>
    <x v="0"/>
    <n v="1236.3499999999999"/>
    <x v="0"/>
    <n v="622.4"/>
    <x v="2"/>
    <s v="Kurumsal"/>
    <x v="1"/>
    <x v="0"/>
  </r>
  <r>
    <n v="964"/>
    <x v="0"/>
    <x v="2"/>
    <x v="0"/>
    <x v="0"/>
    <n v="316.18"/>
    <x v="2"/>
    <n v="568.70000000000005"/>
    <x v="2"/>
    <s v="Bireysel"/>
    <x v="0"/>
    <x v="0"/>
  </r>
  <r>
    <n v="965"/>
    <x v="8"/>
    <x v="9"/>
    <x v="1"/>
    <x v="1"/>
    <n v="95.96"/>
    <x v="2"/>
    <n v="698.9"/>
    <x v="2"/>
    <s v="Bireysel"/>
    <x v="0"/>
    <x v="0"/>
  </r>
  <r>
    <n v="966"/>
    <x v="1"/>
    <x v="1"/>
    <x v="0"/>
    <x v="0"/>
    <n v="1562.21"/>
    <x v="3"/>
    <n v="1136.9000000000001"/>
    <x v="0"/>
    <s v="Kurumsal"/>
    <x v="1"/>
    <x v="0"/>
  </r>
  <r>
    <n v="967"/>
    <x v="6"/>
    <x v="8"/>
    <x v="1"/>
    <x v="1"/>
    <n v="610.73"/>
    <x v="1"/>
    <n v="1428.7"/>
    <x v="0"/>
    <s v="Kurumsal"/>
    <x v="1"/>
    <x v="0"/>
  </r>
  <r>
    <n v="968"/>
    <x v="7"/>
    <x v="2"/>
    <x v="0"/>
    <x v="0"/>
    <n v="626.82000000000005"/>
    <x v="1"/>
    <n v="1342"/>
    <x v="0"/>
    <s v="Bireysel"/>
    <x v="0"/>
    <x v="0"/>
  </r>
  <r>
    <n v="969"/>
    <x v="4"/>
    <x v="7"/>
    <x v="0"/>
    <x v="0"/>
    <n v="11.27"/>
    <x v="2"/>
    <n v="1625"/>
    <x v="1"/>
    <s v="Bireysel"/>
    <x v="0"/>
    <x v="0"/>
  </r>
  <r>
    <n v="970"/>
    <x v="3"/>
    <x v="4"/>
    <x v="1"/>
    <x v="1"/>
    <n v="352.62"/>
    <x v="2"/>
    <n v="1777.5"/>
    <x v="1"/>
    <s v="Bireysel"/>
    <x v="0"/>
    <x v="0"/>
  </r>
  <r>
    <n v="971"/>
    <x v="4"/>
    <x v="5"/>
    <x v="1"/>
    <x v="1"/>
    <n v="1751.43"/>
    <x v="3"/>
    <n v="1641.4"/>
    <x v="1"/>
    <s v="Kurumsal"/>
    <x v="1"/>
    <x v="0"/>
  </r>
  <r>
    <n v="972"/>
    <x v="8"/>
    <x v="9"/>
    <x v="0"/>
    <x v="0"/>
    <n v="886.28"/>
    <x v="1"/>
    <n v="86.9"/>
    <x v="3"/>
    <s v="Kurumsal"/>
    <x v="1"/>
    <x v="0"/>
  </r>
  <r>
    <n v="973"/>
    <x v="6"/>
    <x v="8"/>
    <x v="1"/>
    <x v="1"/>
    <n v="1968.55"/>
    <x v="3"/>
    <n v="1485"/>
    <x v="0"/>
    <s v="Bireysel"/>
    <x v="0"/>
    <x v="1"/>
  </r>
  <r>
    <n v="974"/>
    <x v="6"/>
    <x v="2"/>
    <x v="0"/>
    <x v="0"/>
    <n v="794.44"/>
    <x v="1"/>
    <n v="456.4"/>
    <x v="3"/>
    <s v="Bireysel"/>
    <x v="0"/>
    <x v="0"/>
  </r>
  <r>
    <n v="975"/>
    <x v="1"/>
    <x v="4"/>
    <x v="0"/>
    <x v="0"/>
    <n v="143.18"/>
    <x v="2"/>
    <n v="309.2"/>
    <x v="3"/>
    <s v="Bireysel"/>
    <x v="0"/>
    <x v="0"/>
  </r>
  <r>
    <n v="976"/>
    <x v="2"/>
    <x v="0"/>
    <x v="0"/>
    <x v="0"/>
    <n v="567.42999999999995"/>
    <x v="1"/>
    <n v="1295.0999999999999"/>
    <x v="0"/>
    <s v="Kurumsal"/>
    <x v="1"/>
    <x v="0"/>
  </r>
  <r>
    <n v="977"/>
    <x v="1"/>
    <x v="7"/>
    <x v="1"/>
    <x v="1"/>
    <n v="73.08"/>
    <x v="2"/>
    <n v="673.5"/>
    <x v="2"/>
    <s v="Bireysel"/>
    <x v="0"/>
    <x v="0"/>
  </r>
  <r>
    <n v="978"/>
    <x v="2"/>
    <x v="9"/>
    <x v="1"/>
    <x v="1"/>
    <n v="38.549999999999997"/>
    <x v="2"/>
    <n v="161.4"/>
    <x v="3"/>
    <s v="Bireysel"/>
    <x v="0"/>
    <x v="0"/>
  </r>
  <r>
    <n v="979"/>
    <x v="2"/>
    <x v="3"/>
    <x v="0"/>
    <x v="0"/>
    <n v="697.39"/>
    <x v="1"/>
    <n v="318.39999999999998"/>
    <x v="3"/>
    <s v="Kurumsal"/>
    <x v="1"/>
    <x v="0"/>
  </r>
  <r>
    <n v="980"/>
    <x v="3"/>
    <x v="0"/>
    <x v="1"/>
    <x v="1"/>
    <n v="1096.74"/>
    <x v="0"/>
    <n v="51.8"/>
    <x v="3"/>
    <s v="Bireysel"/>
    <x v="0"/>
    <x v="0"/>
  </r>
  <r>
    <n v="981"/>
    <x v="1"/>
    <x v="8"/>
    <x v="0"/>
    <x v="0"/>
    <n v="1983.59"/>
    <x v="3"/>
    <n v="1811.3"/>
    <x v="1"/>
    <s v="Bireysel"/>
    <x v="0"/>
    <x v="0"/>
  </r>
  <r>
    <n v="982"/>
    <x v="7"/>
    <x v="2"/>
    <x v="0"/>
    <x v="0"/>
    <n v="1330.08"/>
    <x v="0"/>
    <n v="98"/>
    <x v="3"/>
    <s v="Bireysel"/>
    <x v="0"/>
    <x v="0"/>
  </r>
  <r>
    <n v="983"/>
    <x v="5"/>
    <x v="0"/>
    <x v="0"/>
    <x v="0"/>
    <n v="40.25"/>
    <x v="2"/>
    <n v="458.4"/>
    <x v="3"/>
    <s v="Bireysel"/>
    <x v="0"/>
    <x v="0"/>
  </r>
  <r>
    <n v="984"/>
    <x v="5"/>
    <x v="7"/>
    <x v="0"/>
    <x v="0"/>
    <n v="9.4700000000000006"/>
    <x v="2"/>
    <n v="861.7"/>
    <x v="2"/>
    <s v="Bireysel"/>
    <x v="0"/>
    <x v="0"/>
  </r>
  <r>
    <n v="985"/>
    <x v="1"/>
    <x v="3"/>
    <x v="0"/>
    <x v="0"/>
    <n v="257.08"/>
    <x v="2"/>
    <n v="745.3"/>
    <x v="2"/>
    <s v="Bireysel"/>
    <x v="0"/>
    <x v="0"/>
  </r>
  <r>
    <n v="986"/>
    <x v="1"/>
    <x v="0"/>
    <x v="0"/>
    <x v="0"/>
    <n v="112.73"/>
    <x v="2"/>
    <n v="1827.9"/>
    <x v="1"/>
    <s v="Bireysel"/>
    <x v="0"/>
    <x v="0"/>
  </r>
  <r>
    <n v="987"/>
    <x v="4"/>
    <x v="6"/>
    <x v="1"/>
    <x v="1"/>
    <n v="1531.49"/>
    <x v="3"/>
    <n v="128.6"/>
    <x v="3"/>
    <s v="Kurumsal"/>
    <x v="1"/>
    <x v="0"/>
  </r>
  <r>
    <n v="988"/>
    <x v="3"/>
    <x v="7"/>
    <x v="0"/>
    <x v="0"/>
    <n v="1881.14"/>
    <x v="3"/>
    <n v="1048.8"/>
    <x v="0"/>
    <s v="Bireysel"/>
    <x v="0"/>
    <x v="1"/>
  </r>
  <r>
    <n v="989"/>
    <x v="1"/>
    <x v="8"/>
    <x v="0"/>
    <x v="0"/>
    <n v="36.57"/>
    <x v="2"/>
    <n v="1376.9"/>
    <x v="0"/>
    <s v="Bireysel"/>
    <x v="0"/>
    <x v="0"/>
  </r>
  <r>
    <n v="990"/>
    <x v="4"/>
    <x v="7"/>
    <x v="0"/>
    <x v="0"/>
    <n v="1047.9100000000001"/>
    <x v="0"/>
    <n v="1866.8"/>
    <x v="1"/>
    <s v="Bireysel"/>
    <x v="0"/>
    <x v="0"/>
  </r>
  <r>
    <n v="991"/>
    <x v="2"/>
    <x v="4"/>
    <x v="0"/>
    <x v="0"/>
    <n v="944.38"/>
    <x v="1"/>
    <n v="1259.7"/>
    <x v="0"/>
    <s v="Kurumsal"/>
    <x v="1"/>
    <x v="0"/>
  </r>
  <r>
    <n v="992"/>
    <x v="6"/>
    <x v="5"/>
    <x v="0"/>
    <x v="0"/>
    <n v="1313.83"/>
    <x v="0"/>
    <n v="1617.3"/>
    <x v="1"/>
    <s v="Kurumsal"/>
    <x v="1"/>
    <x v="1"/>
  </r>
  <r>
    <n v="993"/>
    <x v="6"/>
    <x v="5"/>
    <x v="1"/>
    <x v="1"/>
    <n v="1121.3599999999999"/>
    <x v="0"/>
    <n v="213.3"/>
    <x v="3"/>
    <s v="Bireysel"/>
    <x v="0"/>
    <x v="0"/>
  </r>
  <r>
    <n v="994"/>
    <x v="2"/>
    <x v="5"/>
    <x v="0"/>
    <x v="0"/>
    <n v="1375.64"/>
    <x v="0"/>
    <n v="802.6"/>
    <x v="2"/>
    <s v="Bireysel"/>
    <x v="0"/>
    <x v="0"/>
  </r>
  <r>
    <n v="995"/>
    <x v="0"/>
    <x v="9"/>
    <x v="1"/>
    <x v="1"/>
    <n v="1317.87"/>
    <x v="0"/>
    <n v="779.2"/>
    <x v="2"/>
    <s v="Bireysel"/>
    <x v="0"/>
    <x v="1"/>
  </r>
  <r>
    <n v="996"/>
    <x v="4"/>
    <x v="8"/>
    <x v="1"/>
    <x v="1"/>
    <n v="238.44"/>
    <x v="2"/>
    <n v="1778.3"/>
    <x v="1"/>
    <s v="Bireysel"/>
    <x v="0"/>
    <x v="1"/>
  </r>
  <r>
    <n v="997"/>
    <x v="4"/>
    <x v="7"/>
    <x v="0"/>
    <x v="0"/>
    <n v="1600.44"/>
    <x v="3"/>
    <n v="345.2"/>
    <x v="3"/>
    <s v="Bireysel"/>
    <x v="0"/>
    <x v="0"/>
  </r>
  <r>
    <n v="998"/>
    <x v="2"/>
    <x v="3"/>
    <x v="1"/>
    <x v="1"/>
    <n v="250.85"/>
    <x v="2"/>
    <n v="346.2"/>
    <x v="3"/>
    <s v="Kurumsal"/>
    <x v="1"/>
    <x v="0"/>
  </r>
  <r>
    <n v="999"/>
    <x v="7"/>
    <x v="3"/>
    <x v="0"/>
    <x v="0"/>
    <n v="1398.57"/>
    <x v="0"/>
    <n v="690.7"/>
    <x v="2"/>
    <s v="Kurumsal"/>
    <x v="1"/>
    <x v="0"/>
  </r>
  <r>
    <n v="1000"/>
    <x v="9"/>
    <x v="8"/>
    <x v="1"/>
    <x v="1"/>
    <n v="835.21"/>
    <x v="1"/>
    <n v="156.19999999999999"/>
    <x v="3"/>
    <s v="Bireysel"/>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A3A6E8-735B-46F0-B39E-EB327F4DA125}"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C19:D30" firstHeaderRow="1" firstDataRow="1" firstDataCol="1" rowPageCount="1" colPageCount="1"/>
  <pivotFields count="12">
    <pivotField dataField="1" showAll="0"/>
    <pivotField showAll="0" sortType="descending">
      <autoSortScope>
        <pivotArea dataOnly="0" outline="0" fieldPosition="0">
          <references count="1">
            <reference field="4294967294" count="1" selected="0">
              <x v="0"/>
            </reference>
          </references>
        </pivotArea>
      </autoSortScope>
    </pivotField>
    <pivotField axis="axisRow" showAll="0" sortType="ascending">
      <items count="11">
        <item x="6"/>
        <item x="9"/>
        <item x="3"/>
        <item x="2"/>
        <item x="1"/>
        <item x="0"/>
        <item x="8"/>
        <item x="4"/>
        <item x="7"/>
        <item x="5"/>
        <item t="default"/>
      </items>
    </pivotField>
    <pivotField showAll="0"/>
    <pivotField showAll="0">
      <items count="4">
        <item x="1"/>
        <item x="0"/>
        <item x="2"/>
        <item t="default"/>
      </items>
    </pivotField>
    <pivotField showAll="0"/>
    <pivotField showAll="0"/>
    <pivotField numFmtId="164" showAll="0"/>
    <pivotField showAll="0"/>
    <pivotField showAll="0"/>
    <pivotField showAll="0"/>
    <pivotField axis="axisPage" multipleItemSelectionAllowed="1" showAll="0">
      <items count="3">
        <item x="1"/>
        <item h="1" x="0"/>
        <item t="default"/>
      </items>
    </pivotField>
  </pivotFields>
  <rowFields count="1">
    <field x="2"/>
  </rowFields>
  <rowItems count="11">
    <i>
      <x/>
    </i>
    <i>
      <x v="1"/>
    </i>
    <i>
      <x v="2"/>
    </i>
    <i>
      <x v="3"/>
    </i>
    <i>
      <x v="4"/>
    </i>
    <i>
      <x v="5"/>
    </i>
    <i>
      <x v="6"/>
    </i>
    <i>
      <x v="7"/>
    </i>
    <i>
      <x v="8"/>
    </i>
    <i>
      <x v="9"/>
    </i>
    <i t="grand">
      <x/>
    </i>
  </rowItems>
  <colItems count="1">
    <i/>
  </colItems>
  <pageFields count="1">
    <pageField fld="11" hier="-1"/>
  </pageFields>
  <dataFields count="1">
    <dataField name="Count of Shipment_ID" fld="0" subtotal="count" baseField="2" baseItem="1"/>
  </dataFields>
  <formats count="6">
    <format dxfId="47">
      <pivotArea type="all" dataOnly="0" outline="0" fieldPosition="0"/>
    </format>
    <format dxfId="46">
      <pivotArea outline="0" collapsedLevelsAreSubtotals="1" fieldPosition="0"/>
    </format>
    <format dxfId="45">
      <pivotArea field="2" type="button" dataOnly="0" labelOnly="1" outline="0" axis="axisRow" fieldPosition="0"/>
    </format>
    <format dxfId="44">
      <pivotArea dataOnly="0" labelOnly="1" fieldPosition="0">
        <references count="1">
          <reference field="2" count="0"/>
        </references>
      </pivotArea>
    </format>
    <format dxfId="43">
      <pivotArea dataOnly="0" labelOnly="1" grandRow="1" outline="0" fieldPosition="0"/>
    </format>
    <format dxfId="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480D49-258C-4197-AE6F-879412D8CEB1}" name="PivotTable13"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144:D235" firstHeaderRow="0" firstDataRow="1" firstDataCol="2"/>
  <pivotFields count="12">
    <pivotField dataField="1" compact="0" outline="0" showAll="0" defaultSubtotal="0"/>
    <pivotField axis="axisRow" compact="0" outline="0" showAll="0" defaultSubtotal="0">
      <items count="10">
        <item x="6"/>
        <item x="7"/>
        <item x="3"/>
        <item x="1"/>
        <item x="2"/>
        <item x="8"/>
        <item x="5"/>
        <item x="4"/>
        <item x="0"/>
        <item x="9"/>
      </items>
    </pivotField>
    <pivotField axis="axisRow" compact="0" outline="0" showAll="0" defaultSubtotal="0">
      <items count="10">
        <item x="6"/>
        <item x="3"/>
        <item x="9"/>
        <item x="2"/>
        <item x="1"/>
        <item x="0"/>
        <item x="8"/>
        <item x="4"/>
        <item x="7"/>
        <item x="5"/>
      </items>
    </pivotField>
    <pivotField compact="0" outline="0" showAll="0" defaultSubtotal="0"/>
    <pivotField compact="0" outline="0" showAll="0" defaultSubtotal="0"/>
    <pivotField compact="0" outline="0" showAll="0" defaultSubtotal="0"/>
    <pivotField compact="0" outline="0" subtotalTop="0" showAll="0" defaultSubtotal="0"/>
    <pivotField compact="0" numFmtId="164" outline="0" showAll="0" defaultSubtotal="0"/>
    <pivotField compact="0" outline="0" subtotalTop="0" showAll="0" defaultSubtotal="0"/>
    <pivotField compact="0" outline="0" showAll="0" defaultSubtotal="0"/>
    <pivotField compact="0" outline="0" showAll="0" defaultSubtotal="0"/>
    <pivotField dataField="1" compact="0" outline="0" showAll="0" defaultSubtotal="0">
      <items count="2">
        <item x="1"/>
        <item h="1" x="0"/>
      </items>
    </pivotField>
  </pivotFields>
  <rowFields count="2">
    <field x="1"/>
    <field x="2"/>
  </rowFields>
  <rowItems count="91">
    <i>
      <x/>
      <x v="1"/>
    </i>
    <i r="1">
      <x v="2"/>
    </i>
    <i r="1">
      <x v="3"/>
    </i>
    <i r="1">
      <x v="4"/>
    </i>
    <i r="1">
      <x v="5"/>
    </i>
    <i r="1">
      <x v="6"/>
    </i>
    <i r="1">
      <x v="7"/>
    </i>
    <i r="1">
      <x v="8"/>
    </i>
    <i r="1">
      <x v="9"/>
    </i>
    <i>
      <x v="1"/>
      <x/>
    </i>
    <i r="1">
      <x v="1"/>
    </i>
    <i r="1">
      <x v="3"/>
    </i>
    <i r="1">
      <x v="4"/>
    </i>
    <i r="1">
      <x v="5"/>
    </i>
    <i r="1">
      <x v="6"/>
    </i>
    <i r="1">
      <x v="7"/>
    </i>
    <i r="1">
      <x v="8"/>
    </i>
    <i r="1">
      <x v="9"/>
    </i>
    <i>
      <x v="2"/>
      <x/>
    </i>
    <i r="1">
      <x v="2"/>
    </i>
    <i r="1">
      <x v="3"/>
    </i>
    <i r="1">
      <x v="4"/>
    </i>
    <i r="1">
      <x v="5"/>
    </i>
    <i r="1">
      <x v="6"/>
    </i>
    <i r="1">
      <x v="7"/>
    </i>
    <i r="1">
      <x v="8"/>
    </i>
    <i r="1">
      <x v="9"/>
    </i>
    <i>
      <x v="3"/>
      <x/>
    </i>
    <i r="1">
      <x v="1"/>
    </i>
    <i r="1">
      <x v="2"/>
    </i>
    <i r="1">
      <x v="4"/>
    </i>
    <i r="1">
      <x v="5"/>
    </i>
    <i r="1">
      <x v="6"/>
    </i>
    <i r="1">
      <x v="7"/>
    </i>
    <i r="1">
      <x v="8"/>
    </i>
    <i r="1">
      <x v="9"/>
    </i>
    <i>
      <x v="4"/>
      <x/>
    </i>
    <i r="1">
      <x v="1"/>
    </i>
    <i r="1">
      <x v="2"/>
    </i>
    <i r="1">
      <x v="3"/>
    </i>
    <i r="1">
      <x v="5"/>
    </i>
    <i r="1">
      <x v="6"/>
    </i>
    <i r="1">
      <x v="7"/>
    </i>
    <i r="1">
      <x v="8"/>
    </i>
    <i r="1">
      <x v="9"/>
    </i>
    <i>
      <x v="5"/>
      <x/>
    </i>
    <i r="1">
      <x v="1"/>
    </i>
    <i r="1">
      <x v="2"/>
    </i>
    <i r="1">
      <x v="3"/>
    </i>
    <i r="1">
      <x v="4"/>
    </i>
    <i r="1">
      <x v="6"/>
    </i>
    <i r="1">
      <x v="7"/>
    </i>
    <i r="1">
      <x v="8"/>
    </i>
    <i r="1">
      <x v="9"/>
    </i>
    <i>
      <x v="6"/>
      <x/>
    </i>
    <i r="1">
      <x v="1"/>
    </i>
    <i r="1">
      <x v="2"/>
    </i>
    <i r="1">
      <x v="3"/>
    </i>
    <i r="1">
      <x v="4"/>
    </i>
    <i r="1">
      <x v="5"/>
    </i>
    <i r="1">
      <x v="7"/>
    </i>
    <i r="1">
      <x v="8"/>
    </i>
    <i r="1">
      <x v="9"/>
    </i>
    <i>
      <x v="7"/>
      <x/>
    </i>
    <i r="1">
      <x v="1"/>
    </i>
    <i r="1">
      <x v="2"/>
    </i>
    <i r="1">
      <x v="3"/>
    </i>
    <i r="1">
      <x v="4"/>
    </i>
    <i r="1">
      <x v="5"/>
    </i>
    <i r="1">
      <x v="6"/>
    </i>
    <i r="1">
      <x v="8"/>
    </i>
    <i r="1">
      <x v="9"/>
    </i>
    <i>
      <x v="8"/>
      <x/>
    </i>
    <i r="1">
      <x v="1"/>
    </i>
    <i r="1">
      <x v="2"/>
    </i>
    <i r="1">
      <x v="3"/>
    </i>
    <i r="1">
      <x v="4"/>
    </i>
    <i r="1">
      <x v="5"/>
    </i>
    <i r="1">
      <x v="6"/>
    </i>
    <i r="1">
      <x v="7"/>
    </i>
    <i r="1">
      <x v="9"/>
    </i>
    <i>
      <x v="9"/>
      <x/>
    </i>
    <i r="1">
      <x v="1"/>
    </i>
    <i r="1">
      <x v="2"/>
    </i>
    <i r="1">
      <x v="3"/>
    </i>
    <i r="1">
      <x v="4"/>
    </i>
    <i r="1">
      <x v="5"/>
    </i>
    <i r="1">
      <x v="6"/>
    </i>
    <i r="1">
      <x v="7"/>
    </i>
    <i r="1">
      <x v="8"/>
    </i>
    <i t="grand">
      <x/>
    </i>
  </rowItems>
  <colFields count="1">
    <field x="-2"/>
  </colFields>
  <colItems count="2">
    <i>
      <x/>
    </i>
    <i i="1">
      <x v="1"/>
    </i>
  </colItems>
  <dataFields count="2">
    <dataField name="Count of Shipment_ID" fld="0" subtotal="count" baseField="1" baseItem="0"/>
    <dataField name="Average of On_Time" fld="11" subtotal="average" baseField="1" baseItem="0" numFmtId="9"/>
  </dataFields>
  <formats count="1">
    <format dxfId="48">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8D5FAB-3806-4701-A22B-CF9FEA0F3EF3}"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8:A9" firstHeaderRow="1" firstDataRow="1" firstDataCol="0" rowPageCount="1" colPageCount="1"/>
  <pivotFields count="12">
    <pivotField dataField="1" showAll="0"/>
    <pivotField showAll="0"/>
    <pivotField showAll="0"/>
    <pivotField showAll="0"/>
    <pivotField showAll="0"/>
    <pivotField showAll="0"/>
    <pivotField showAll="0"/>
    <pivotField numFmtId="164" showAll="0"/>
    <pivotField showAll="0"/>
    <pivotField showAll="0"/>
    <pivotField showAll="0"/>
    <pivotField axis="axisPage" multipleItemSelectionAllowed="1" showAll="0">
      <items count="3">
        <item x="1"/>
        <item h="1" x="0"/>
        <item t="default"/>
      </items>
    </pivotField>
  </pivotFields>
  <rowItems count="1">
    <i/>
  </rowItems>
  <colItems count="1">
    <i/>
  </colItems>
  <pageFields count="1">
    <pageField fld="11" hier="-1"/>
  </pageFields>
  <dataFields count="1">
    <dataField name="Count of Shipment_ID" fld="0" subtotal="count" baseField="4" baseItem="0"/>
  </dataFields>
  <formats count="3">
    <format dxfId="51">
      <pivotArea type="all" dataOnly="0" outline="0" fieldPosition="0"/>
    </format>
    <format dxfId="50">
      <pivotArea outline="0" collapsedLevelsAreSubtotals="1" fieldPosition="0"/>
    </format>
    <format dxfId="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DE36AB-7162-4DDD-9689-8EFDD8618308}"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8:H12" firstHeaderRow="1" firstDataRow="1" firstDataCol="1" rowPageCount="1" colPageCount="1"/>
  <pivotFields count="12">
    <pivotField dataField="1" showAll="0"/>
    <pivotField showAll="0"/>
    <pivotField showAll="0"/>
    <pivotField showAll="0"/>
    <pivotField axis="axisRow" showAll="0">
      <items count="4">
        <item x="1"/>
        <item x="0"/>
        <item x="2"/>
        <item t="default"/>
      </items>
    </pivotField>
    <pivotField showAll="0"/>
    <pivotField showAll="0"/>
    <pivotField numFmtId="164" showAll="0"/>
    <pivotField showAll="0"/>
    <pivotField showAll="0"/>
    <pivotField showAll="0"/>
    <pivotField axis="axisPage" multipleItemSelectionAllowed="1" showAll="0">
      <items count="3">
        <item x="1"/>
        <item h="1" x="0"/>
        <item t="default"/>
      </items>
    </pivotField>
  </pivotFields>
  <rowFields count="1">
    <field x="4"/>
  </rowFields>
  <rowItems count="4">
    <i>
      <x/>
    </i>
    <i>
      <x v="1"/>
    </i>
    <i>
      <x v="2"/>
    </i>
    <i t="grand">
      <x/>
    </i>
  </rowItems>
  <colItems count="1">
    <i/>
  </colItems>
  <pageFields count="1">
    <pageField fld="11" hier="-1"/>
  </pageFields>
  <dataFields count="1">
    <dataField name="Count of Shipment_ID" fld="0" subtotal="count" baseField="0" baseItem="0"/>
  </dataFields>
  <formats count="6">
    <format dxfId="57">
      <pivotArea type="all" dataOnly="0" outline="0" fieldPosition="0"/>
    </format>
    <format dxfId="56">
      <pivotArea outline="0" collapsedLevelsAreSubtotals="1" fieldPosition="0"/>
    </format>
    <format dxfId="55">
      <pivotArea field="4" type="button" dataOnly="0" labelOnly="1" outline="0" axis="axisRow" fieldPosition="0"/>
    </format>
    <format dxfId="54">
      <pivotArea dataOnly="0" labelOnly="1" fieldPosition="0">
        <references count="1">
          <reference field="4" count="0"/>
        </references>
      </pivotArea>
    </format>
    <format dxfId="53">
      <pivotArea dataOnly="0" labelOnly="1" grandRow="1" outline="0" fieldPosition="0"/>
    </format>
    <format dxfId="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72239C-1271-4A71-8A03-685A71BE77F4}"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Bucket weight">
  <location ref="H49:J54" firstHeaderRow="0" firstDataRow="1" firstDataCol="1"/>
  <pivotFields count="12">
    <pivotField dataField="1" showAll="0"/>
    <pivotField showAll="0"/>
    <pivotField showAll="0"/>
    <pivotField showAll="0"/>
    <pivotField showAll="0"/>
    <pivotField showAll="0"/>
    <pivotField showAll="0"/>
    <pivotField numFmtId="164" showAll="0"/>
    <pivotField axis="axisRow" showAll="0">
      <items count="5">
        <item x="3"/>
        <item x="0"/>
        <item x="1"/>
        <item x="2"/>
        <item t="default"/>
      </items>
    </pivotField>
    <pivotField showAll="0"/>
    <pivotField showAll="0"/>
    <pivotField dataField="1" showAll="0">
      <items count="3">
        <item x="1"/>
        <item h="1" x="0"/>
        <item t="default"/>
      </items>
    </pivotField>
  </pivotFields>
  <rowFields count="1">
    <field x="8"/>
  </rowFields>
  <rowItems count="5">
    <i>
      <x/>
    </i>
    <i>
      <x v="1"/>
    </i>
    <i>
      <x v="2"/>
    </i>
    <i>
      <x v="3"/>
    </i>
    <i t="grand">
      <x/>
    </i>
  </rowItems>
  <colFields count="1">
    <field x="-2"/>
  </colFields>
  <colItems count="2">
    <i>
      <x/>
    </i>
    <i i="1">
      <x v="1"/>
    </i>
  </colItems>
  <dataFields count="2">
    <dataField name="Count of Shipment_ID" fld="0" subtotal="count" baseField="7" baseItem="0"/>
    <dataField name="Average of On_Time" fld="11" subtotal="average" baseField="7" baseItem="0"/>
  </dataFields>
  <formats count="7">
    <format dxfId="64">
      <pivotArea dataOnly="0" outline="0" fieldPosition="0">
        <references count="1">
          <reference field="4294967294" count="1">
            <x v="1"/>
          </reference>
        </references>
      </pivotArea>
    </format>
    <format dxfId="63">
      <pivotArea type="all" dataOnly="0" outline="0" fieldPosition="0"/>
    </format>
    <format dxfId="62">
      <pivotArea outline="0" collapsedLevelsAreSubtotals="1" fieldPosition="0"/>
    </format>
    <format dxfId="61">
      <pivotArea field="8" type="button" dataOnly="0" labelOnly="1" outline="0" axis="axisRow" fieldPosition="0"/>
    </format>
    <format dxfId="60">
      <pivotArea dataOnly="0" labelOnly="1" fieldPosition="0">
        <references count="1">
          <reference field="8" count="0"/>
        </references>
      </pivotArea>
    </format>
    <format dxfId="59">
      <pivotArea dataOnly="0" labelOnly="1" grandRow="1" outline="0" fieldPosition="0"/>
    </format>
    <format dxfId="5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4C665B-A166-4A82-A5F3-CB7616A6719F}"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9:B30" firstHeaderRow="1" firstDataRow="1" firstDataCol="1"/>
  <pivotFields count="12">
    <pivotField dataField="1" showAll="0"/>
    <pivotField showAll="0"/>
    <pivotField axis="axisRow" showAll="0" sortType="ascending">
      <items count="11">
        <item x="6"/>
        <item x="9"/>
        <item x="3"/>
        <item x="2"/>
        <item x="1"/>
        <item x="0"/>
        <item x="8"/>
        <item x="4"/>
        <item x="7"/>
        <item x="5"/>
        <item t="default"/>
      </items>
    </pivotField>
    <pivotField showAll="0"/>
    <pivotField showAll="0"/>
    <pivotField showAll="0"/>
    <pivotField showAll="0"/>
    <pivotField numFmtId="164" showAll="0"/>
    <pivotField showAll="0"/>
    <pivotField showAll="0"/>
    <pivotField showAll="0"/>
    <pivotField multipleItemSelectionAllowed="1" showAll="0">
      <items count="3">
        <item x="1"/>
        <item h="1" x="0"/>
        <item t="default"/>
      </items>
    </pivotField>
  </pivotFields>
  <rowFields count="1">
    <field x="2"/>
  </rowFields>
  <rowItems count="11">
    <i>
      <x/>
    </i>
    <i>
      <x v="1"/>
    </i>
    <i>
      <x v="2"/>
    </i>
    <i>
      <x v="3"/>
    </i>
    <i>
      <x v="4"/>
    </i>
    <i>
      <x v="5"/>
    </i>
    <i>
      <x v="6"/>
    </i>
    <i>
      <x v="7"/>
    </i>
    <i>
      <x v="8"/>
    </i>
    <i>
      <x v="9"/>
    </i>
    <i t="grand">
      <x/>
    </i>
  </rowItems>
  <colItems count="1">
    <i/>
  </colItems>
  <dataFields count="1">
    <dataField name="Count of Shipment_ID" fld="0" subtotal="count" baseField="2" baseItem="0"/>
  </dataFields>
  <formats count="6">
    <format dxfId="70">
      <pivotArea type="all" dataOnly="0" outline="0" fieldPosition="0"/>
    </format>
    <format dxfId="69">
      <pivotArea outline="0" collapsedLevelsAreSubtotals="1" fieldPosition="0"/>
    </format>
    <format dxfId="68">
      <pivotArea field="2" type="button" dataOnly="0" labelOnly="1" outline="0" axis="axisRow" fieldPosition="0"/>
    </format>
    <format dxfId="67">
      <pivotArea dataOnly="0" labelOnly="1" fieldPosition="0">
        <references count="1">
          <reference field="2" count="0"/>
        </references>
      </pivotArea>
    </format>
    <format dxfId="66">
      <pivotArea dataOnly="0" labelOnly="1" grandRow="1" outline="0" fieldPosition="0"/>
    </format>
    <format dxfId="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116DB3-7969-4D54-BB53-DD04C5008B9F}" name="PivotTable7" cacheId="0"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chartFormat="1">
  <location ref="E8:F12" firstHeaderRow="1" firstDataRow="1" firstDataCol="1" rowPageCount="1" colPageCount="1"/>
  <pivotFields count="12">
    <pivotField dataField="1" subtotalTop="0" showAll="0"/>
    <pivotField subtotalTop="0" showAll="0"/>
    <pivotField subtotalTop="0" showAll="0"/>
    <pivotField subtotalTop="0" showAll="0"/>
    <pivotField axis="axisRow" subtotalTop="0" showAll="0">
      <items count="4">
        <item x="1"/>
        <item x="0"/>
        <item x="2"/>
        <item t="default"/>
      </items>
    </pivotField>
    <pivotField subtotalTop="0" showAll="0"/>
    <pivotField subtotalTop="0" showAll="0"/>
    <pivotField numFmtId="164" subtotalTop="0" showAll="0"/>
    <pivotField subtotalTop="0" showAll="0"/>
    <pivotField subtotalTop="0" showAll="0"/>
    <pivotField subtotalTop="0" showAll="0"/>
    <pivotField axis="axisPage" subtotalTop="0" multipleItemSelectionAllowed="1" showAll="0">
      <items count="3">
        <item x="1"/>
        <item x="0"/>
        <item t="default"/>
      </items>
    </pivotField>
  </pivotFields>
  <rowFields count="1">
    <field x="4"/>
  </rowFields>
  <rowItems count="4">
    <i>
      <x/>
    </i>
    <i>
      <x v="1"/>
    </i>
    <i>
      <x v="2"/>
    </i>
    <i t="grand">
      <x/>
    </i>
  </rowItems>
  <colItems count="1">
    <i/>
  </colItems>
  <pageFields count="1">
    <pageField fld="11" hier="-1"/>
  </pageFields>
  <dataFields count="1">
    <dataField name="Count of Shipment_ID" fld="0" subtotal="count" baseField="0" baseItem="0"/>
  </dataFields>
  <formats count="6">
    <format dxfId="76">
      <pivotArea type="all" dataOnly="0" outline="0" fieldPosition="0"/>
    </format>
    <format dxfId="75">
      <pivotArea outline="0" collapsedLevelsAreSubtotals="1" fieldPosition="0"/>
    </format>
    <format dxfId="74">
      <pivotArea field="4" type="button" dataOnly="0" labelOnly="1" outline="0" axis="axisRow" fieldPosition="0"/>
    </format>
    <format dxfId="73">
      <pivotArea dataOnly="0" labelOnly="1" fieldPosition="0">
        <references count="1">
          <reference field="4" count="0"/>
        </references>
      </pivotArea>
    </format>
    <format dxfId="72">
      <pivotArea dataOnly="0" labelOnly="1" grandRow="1" outline="0" fieldPosition="0"/>
    </format>
    <format dxfId="7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4929A7-0D44-47BB-B064-87966E097631}"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M49:O52" firstHeaderRow="0" firstDataRow="1" firstDataCol="1"/>
  <pivotFields count="12">
    <pivotField dataField="1" showAll="0"/>
    <pivotField showAll="0"/>
    <pivotField showAll="0"/>
    <pivotField showAll="0"/>
    <pivotField showAll="0"/>
    <pivotField showAll="0"/>
    <pivotField showAll="0"/>
    <pivotField numFmtId="164" showAll="0"/>
    <pivotField showAll="0"/>
    <pivotField showAll="0"/>
    <pivotField axis="axisRow" showAll="0">
      <items count="3">
        <item x="1"/>
        <item x="0"/>
        <item t="default"/>
      </items>
    </pivotField>
    <pivotField dataField="1" showAll="0">
      <items count="3">
        <item x="1"/>
        <item h="1" x="0"/>
        <item t="default"/>
      </items>
    </pivotField>
  </pivotFields>
  <rowFields count="1">
    <field x="10"/>
  </rowFields>
  <rowItems count="3">
    <i>
      <x/>
    </i>
    <i>
      <x v="1"/>
    </i>
    <i t="grand">
      <x/>
    </i>
  </rowItems>
  <colFields count="1">
    <field x="-2"/>
  </colFields>
  <colItems count="2">
    <i>
      <x/>
    </i>
    <i i="1">
      <x v="1"/>
    </i>
  </colItems>
  <dataFields count="2">
    <dataField name="Count of Shipment_ID" fld="0" subtotal="count" baseField="9" baseItem="0"/>
    <dataField name="Average of On_Time" fld="11" subtotal="average" baseField="9" baseItem="0" numFmtId="9"/>
  </dataFields>
  <formats count="7">
    <format dxfId="83">
      <pivotArea outline="0" collapsedLevelsAreSubtotals="1" fieldPosition="0">
        <references count="1">
          <reference field="4294967294" count="1" selected="0">
            <x v="1"/>
          </reference>
        </references>
      </pivotArea>
    </format>
    <format dxfId="82">
      <pivotArea type="all" dataOnly="0" outline="0" fieldPosition="0"/>
    </format>
    <format dxfId="81">
      <pivotArea outline="0" collapsedLevelsAreSubtotals="1" fieldPosition="0"/>
    </format>
    <format dxfId="80">
      <pivotArea field="10" type="button" dataOnly="0" labelOnly="1" outline="0" axis="axisRow" fieldPosition="0"/>
    </format>
    <format dxfId="79">
      <pivotArea dataOnly="0" labelOnly="1" fieldPosition="0">
        <references count="1">
          <reference field="10" count="0"/>
        </references>
      </pivotArea>
    </format>
    <format dxfId="78">
      <pivotArea dataOnly="0" labelOnly="1" grandRow="1" outline="0" fieldPosition="0"/>
    </format>
    <format dxfId="7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9C1337-C4BF-44EA-998E-AFAB347B94F5}"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H56:J61" firstHeaderRow="0" firstDataRow="1" firstDataCol="1"/>
  <pivotFields count="12">
    <pivotField dataField="1" showAll="0"/>
    <pivotField showAll="0"/>
    <pivotField showAll="0"/>
    <pivotField showAll="0"/>
    <pivotField showAll="0"/>
    <pivotField showAll="0"/>
    <pivotField axis="axisRow" showAll="0">
      <items count="5">
        <item x="2"/>
        <item x="0"/>
        <item x="3"/>
        <item x="1"/>
        <item t="default"/>
      </items>
    </pivotField>
    <pivotField numFmtId="164" showAll="0"/>
    <pivotField showAll="0"/>
    <pivotField showAll="0"/>
    <pivotField showAll="0"/>
    <pivotField dataField="1" showAll="0">
      <items count="3">
        <item x="1"/>
        <item h="1" x="0"/>
        <item t="default"/>
      </items>
    </pivotField>
  </pivotFields>
  <rowFields count="1">
    <field x="6"/>
  </rowFields>
  <rowItems count="5">
    <i>
      <x/>
    </i>
    <i>
      <x v="1"/>
    </i>
    <i>
      <x v="2"/>
    </i>
    <i>
      <x v="3"/>
    </i>
    <i t="grand">
      <x/>
    </i>
  </rowItems>
  <colFields count="1">
    <field x="-2"/>
  </colFields>
  <colItems count="2">
    <i>
      <x/>
    </i>
    <i i="1">
      <x v="1"/>
    </i>
  </colItems>
  <dataFields count="2">
    <dataField name="Count of Shipment_ID" fld="0" subtotal="count" baseField="6" baseItem="0"/>
    <dataField name="Average of On_Time" fld="11" subtotal="average" baseField="6" baseItem="0"/>
  </dataFields>
  <formats count="7">
    <format dxfId="90">
      <pivotArea dataOnly="0" outline="0" fieldPosition="0">
        <references count="1">
          <reference field="4294967294" count="1">
            <x v="1"/>
          </reference>
        </references>
      </pivotArea>
    </format>
    <format dxfId="89">
      <pivotArea type="all" dataOnly="0" outline="0" fieldPosition="0"/>
    </format>
    <format dxfId="88">
      <pivotArea outline="0" collapsedLevelsAreSubtotals="1" fieldPosition="0"/>
    </format>
    <format dxfId="87">
      <pivotArea field="6" type="button" dataOnly="0" labelOnly="1" outline="0" axis="axisRow" fieldPosition="0"/>
    </format>
    <format dxfId="86">
      <pivotArea dataOnly="0" labelOnly="1" fieldPosition="0">
        <references count="1">
          <reference field="6" count="0"/>
        </references>
      </pivotArea>
    </format>
    <format dxfId="85">
      <pivotArea dataOnly="0" labelOnly="1" grandRow="1" outline="0" fieldPosition="0"/>
    </format>
    <format dxfId="8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46C9192-C868-4BD4-AEC1-10A61A3ACD8D}"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6:D10" firstHeaderRow="1" firstDataRow="1" firstDataCol="1"/>
  <pivotFields count="12">
    <pivotField dataField="1" showAll="0"/>
    <pivotField showAll="0"/>
    <pivotField showAll="0"/>
    <pivotField showAll="0"/>
    <pivotField axis="axisRow" showAll="0">
      <items count="4">
        <item x="1"/>
        <item x="0"/>
        <item x="2"/>
        <item t="default"/>
      </items>
    </pivotField>
    <pivotField showAll="0"/>
    <pivotField showAll="0"/>
    <pivotField numFmtId="164" showAll="0"/>
    <pivotField showAll="0"/>
    <pivotField showAll="0"/>
    <pivotField showAll="0"/>
    <pivotField multipleItemSelectionAllowed="1" showAll="0">
      <items count="3">
        <item x="1"/>
        <item h="1" x="0"/>
        <item t="default"/>
      </items>
    </pivotField>
  </pivotFields>
  <rowFields count="1">
    <field x="4"/>
  </rowFields>
  <rowItems count="4">
    <i>
      <x/>
    </i>
    <i>
      <x v="1"/>
    </i>
    <i>
      <x v="2"/>
    </i>
    <i t="grand">
      <x/>
    </i>
  </rowItems>
  <colItems count="1">
    <i/>
  </colItems>
  <dataFields count="1">
    <dataField name="Count of Shipment_ID" fld="0" subtotal="count" baseField="4" baseItem="0"/>
  </dataFields>
  <formats count="6">
    <format dxfId="96">
      <pivotArea type="all" dataOnly="0" outline="0" fieldPosition="0"/>
    </format>
    <format dxfId="95">
      <pivotArea outline="0" collapsedLevelsAreSubtotals="1" fieldPosition="0"/>
    </format>
    <format dxfId="94">
      <pivotArea field="4" type="button" dataOnly="0" labelOnly="1" outline="0" axis="axisRow" fieldPosition="0"/>
    </format>
    <format dxfId="93">
      <pivotArea dataOnly="0" labelOnly="1" fieldPosition="0">
        <references count="1">
          <reference field="4" count="0"/>
        </references>
      </pivotArea>
    </format>
    <format dxfId="92">
      <pivotArea dataOnly="0" labelOnly="1" grandRow="1" outline="0" fieldPosition="0"/>
    </format>
    <format dxfId="9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200-000000000000}" autoFormatId="16" applyNumberFormats="0" applyBorderFormats="0" applyFontFormats="0" applyPatternFormats="0" applyAlignmentFormats="0" applyWidthHeightFormats="0">
  <queryTableRefresh nextId="24">
    <queryTableFields count="12">
      <queryTableField id="1" name="Shipment_ID" tableColumnId="1"/>
      <queryTableField id="2" name="Origin_City" tableColumnId="2"/>
      <queryTableField id="3" name="Destination_City" tableColumnId="3"/>
      <queryTableField id="4" name="Shipment_Type" tableColumnId="4"/>
      <queryTableField id="14" dataBound="0" tableColumnId="14"/>
      <queryTableField id="5" name="Weight_kg" tableColumnId="5"/>
      <queryTableField id="21" dataBound="0" tableColumnId="10"/>
      <queryTableField id="6" name="Distance_km" tableColumnId="6"/>
      <queryTableField id="19" dataBound="0" tableColumnId="9"/>
      <queryTableField id="7" name="Customer_Segment" tableColumnId="7"/>
      <queryTableField id="16" dataBound="0" tableColumnId="15"/>
      <queryTableField id="8" name="On_Tim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ment_Type_Eng" xr10:uid="{FBA512D0-478D-406C-B8B7-6179B7358223}" sourceName="Shipment_Type_Eng">
  <pivotTables>
    <pivotTable tabId="5" name="PivotTable9"/>
  </pivotTables>
  <data>
    <tabular pivotCacheId="168469465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ment_Type_Eng 1" xr10:uid="{C4E91DC4-4467-4EDB-A672-24B63B8A5068}" cache="Slicer_Shipment_Type_Eng" caption="Shipment_Type_Eng" showCaption="0" style="Slicer Style 6" rowHeight="24130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5C79E7-DFC1-4301-BCB2-9AC8D568066E}" name="Table3" displayName="Table3" ref="A49:F140" totalsRowShown="0" headerRowDxfId="41">
  <autoFilter ref="A49:F140" xr:uid="{6B5C79E7-DFC1-4301-BCB2-9AC8D568066E}"/>
  <sortState xmlns:xlrd2="http://schemas.microsoft.com/office/spreadsheetml/2017/richdata2" ref="A50:E140">
    <sortCondition descending="1" ref="E50:E140"/>
  </sortState>
  <tableColumns count="6">
    <tableColumn id="1" xr3:uid="{5E6D31E8-5091-44D9-BC1F-CDBDCE40B26E}" name="Origin_City" dataDxfId="40"/>
    <tableColumn id="2" xr3:uid="{ECA2DD04-6C94-4352-8FAA-A36FE37AF24C}" name="Destination_City" dataDxfId="39"/>
    <tableColumn id="3" xr3:uid="{6012217F-7A1C-4E14-8526-E3E28C0CBDCC}" name="Count of Shipment_ID" dataDxfId="38"/>
    <tableColumn id="4" xr3:uid="{20ED0972-BDB4-4EF3-BE20-CD12EC8E8250}" name="Average of On_Time" dataDxfId="37" dataCellStyle="Percent"/>
    <tableColumn id="5" xr3:uid="{05D55AA2-80C1-42C5-8F3A-D42846894FA9}" name="Late rate" dataDxfId="36" dataCellStyle="Percent"/>
    <tableColumn id="6" xr3:uid="{E5905042-9008-4606-8B5A-B8825DB38C44}" name="Late rate vs overall" dataDxfId="35">
      <calculatedColumnFormula>Table3[[#This Row],[Late rate]]-16%</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7951E33-F255-40BC-B023-1A844AA63740}" name="Table6" displayName="Table6" ref="A35:E40" totalsRowShown="0" headerRowDxfId="34" dataDxfId="32" headerRowBorderDxfId="33" tableBorderDxfId="31" totalsRowBorderDxfId="30">
  <autoFilter ref="A35:E40" xr:uid="{07951E33-F255-40BC-B023-1A844AA63740}"/>
  <tableColumns count="5">
    <tableColumn id="1" xr3:uid="{18A5B58C-0B12-4A02-BF5A-B881AAD7A576}" name="Origin" dataDxfId="29" dataCellStyle="Percent"/>
    <tableColumn id="2" xr3:uid="{658C95EE-56B8-4C7A-8A05-9B2C2293F02D}" name="Destination" dataDxfId="28" dataCellStyle="Percent"/>
    <tableColumn id="3" xr3:uid="{1B96EC65-B93B-42CB-8FE9-BB7B226D0DF3}" name="Shipments" dataDxfId="27" dataCellStyle="Percent"/>
    <tableColumn id="4" xr3:uid="{175C684F-CCB9-44CE-9482-7654F989C5F3}" name="Route" dataDxfId="26" dataCellStyle="Percent">
      <calculatedColumnFormula>A36&amp;" → "&amp;B36</calculatedColumnFormula>
    </tableColumn>
    <tableColumn id="5" xr3:uid="{63035A31-4757-45B8-AF36-E6939E8189B3}" name="Late rate" dataDxfId="25" dataCellStyle="Percent"/>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1AE623E-E9BD-45E6-86AD-4FF0B01FE5E8}" name="Table4" displayName="Table4" ref="F35:J44" totalsRowShown="0" headerRowDxfId="24" headerRowBorderDxfId="23" tableBorderDxfId="22" totalsRowBorderDxfId="21">
  <autoFilter ref="F35:J44" xr:uid="{01AE623E-E9BD-45E6-86AD-4FF0B01FE5E8}"/>
  <tableColumns count="5">
    <tableColumn id="1" xr3:uid="{81D7919E-F441-48D0-949B-89A3C6F6C8DB}" name="Origin" dataDxfId="20"/>
    <tableColumn id="2" xr3:uid="{A75E5877-A245-4631-B6E2-EEA013840B65}" name="Detination" dataDxfId="19"/>
    <tableColumn id="3" xr3:uid="{967DD004-0C3D-448F-BF61-17B2823B561B}" name="Transportation" dataDxfId="18"/>
    <tableColumn id="4" xr3:uid="{2D1D7D6F-5771-4D56-96BB-9606747C750A}" name="Late shipments" dataDxfId="17"/>
    <tableColumn id="5" xr3:uid="{130AC120-B60A-45F2-818B-A5C10005B59B}" name="Rate" dataDxfId="16" dataCellStyle="Percent">
      <calculatedColumnFormula>I36/SUMIFS($I$36:$I$44,$F$36:$F$44,F36,$G$36:$G$44,G36)</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F0B4E2-86A6-4CFF-9E37-03A323AC6BB4}" name="Table2" displayName="Table2" ref="K35:L37" totalsRowShown="0" headerRowDxfId="15" headerRowBorderDxfId="14" tableBorderDxfId="13" totalsRowBorderDxfId="12">
  <autoFilter ref="K35:L37" xr:uid="{2AF0B4E2-86A6-4CFF-9E37-03A323AC6BB4}"/>
  <tableColumns count="2">
    <tableColumn id="1" xr3:uid="{29121920-BB5E-475B-ACBE-67A093FAF651}" name="Transportation" dataDxfId="11"/>
    <tableColumn id="2" xr3:uid="{55CED4D0-7581-4A73-8AA1-117C7FF56EDE}" name="Percentage" dataDxfId="10" dataCellStyle="Percent">
      <calculatedColumnFormula>SUM(I36,I38,I40,I42)/24</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ogistics_classification_dataset__1" displayName="logistics_classification_dataset__1" ref="A1:L1001" tableType="queryTable" totalsRowShown="0">
  <autoFilter ref="A1:L1001" xr:uid="{00000000-0009-0000-0100-000001000000}"/>
  <tableColumns count="12">
    <tableColumn id="1" xr3:uid="{00000000-0010-0000-0000-000001000000}" uniqueName="1" name="Shipment_ID" queryTableFieldId="1"/>
    <tableColumn id="2" xr3:uid="{00000000-0010-0000-0000-000002000000}" uniqueName="2" name="Origin_City" queryTableFieldId="2" dataDxfId="8"/>
    <tableColumn id="3" xr3:uid="{00000000-0010-0000-0000-000003000000}" uniqueName="3" name="Destination_City" queryTableFieldId="3" dataDxfId="7"/>
    <tableColumn id="4" xr3:uid="{00000000-0010-0000-0000-000004000000}" uniqueName="4" name="Shipment_Type" queryTableFieldId="4" dataDxfId="6"/>
    <tableColumn id="14" xr3:uid="{00000000-0010-0000-0000-00000E000000}" uniqueName="14" name="Shipment_Type_Eng" queryTableFieldId="14" dataDxfId="5">
      <calculatedColumnFormula>IF(logistics_classification_dataset__1[[#This Row],[Shipment_Type]]="Kara","Road",IF(logistics_classification_dataset__1[[#This Row],[Shipment_Type]]="Hava","Air",IF(logistics_classification_dataset__1[[#This Row],[Shipment_Type]]="Deniz","Sea")))</calculatedColumnFormula>
    </tableColumn>
    <tableColumn id="5" xr3:uid="{00000000-0010-0000-0000-000005000000}" uniqueName="5" name="Weight_kg" queryTableFieldId="5"/>
    <tableColumn id="10" xr3:uid="{A536F8B8-2FC6-4D62-9FC6-33D9E483674C}" uniqueName="10" name="Bucket weight" queryTableFieldId="21" dataDxfId="4">
      <calculatedColumnFormula>IF(F2&lt;=500,"0–500",IF(F2&lt;=1000,"501–1000",IF(F2&lt;=1500,"1001–1500","1501–2000")))</calculatedColumnFormula>
    </tableColumn>
    <tableColumn id="6" xr3:uid="{00000000-0010-0000-0000-000006000000}" uniqueName="6" name="Distance_km" queryTableFieldId="6" dataDxfId="3"/>
    <tableColumn id="9" xr3:uid="{CC8C1377-AD4C-4203-9A35-80600E4025C9}" uniqueName="9" name="Distance bucket" queryTableFieldId="19" dataDxfId="2">
      <calculatedColumnFormula>IF(H2&lt;=500,"0–500",IF(H2&lt;=1000,"501–1000",IF(H2&lt;=1500,"1001–1500",IF(H2&lt;=2000,"1501–2000","&gt;2000"))))</calculatedColumnFormula>
    </tableColumn>
    <tableColumn id="7" xr3:uid="{00000000-0010-0000-0000-000007000000}" uniqueName="7" name="Customer_Segment" queryTableFieldId="7" dataDxfId="1"/>
    <tableColumn id="15" xr3:uid="{00000000-0010-0000-0000-00000F000000}" uniqueName="15" name="Customer_Segment_Eng" queryTableFieldId="16" dataDxfId="0">
      <calculatedColumnFormula>IF(logistics_classification_dataset__1[[#This Row],[Customer_Segment]]="Bireysel","Individual",IF(logistics_classification_dataset__1[[#This Row],[Customer_Segment]]="Kurumsal","Corporate"))</calculatedColumnFormula>
    </tableColumn>
    <tableColumn id="8" xr3:uid="{00000000-0010-0000-0000-000008000000}" uniqueName="8" name="On_Time" queryTableFieldId="8"/>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5" Type="http://schemas.openxmlformats.org/officeDocument/2006/relationships/table" Target="../tables/table4.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B5147-DBC3-4EA7-908D-59C8A5A2A156}">
  <sheetPr>
    <pageSetUpPr fitToPage="1"/>
  </sheetPr>
  <dimension ref="A1"/>
  <sheetViews>
    <sheetView tabSelected="1" zoomScale="70" zoomScaleNormal="70" workbookViewId="0">
      <selection activeCell="I17" sqref="I17"/>
    </sheetView>
  </sheetViews>
  <sheetFormatPr defaultRowHeight="14.5" x14ac:dyDescent="0.35"/>
  <cols>
    <col min="1" max="1" width="13.6328125" customWidth="1"/>
    <col min="2" max="2" width="12" customWidth="1"/>
    <col min="3" max="3" width="16.7265625" customWidth="1"/>
    <col min="4" max="4" width="15.81640625" customWidth="1"/>
    <col min="5" max="5" width="19.81640625" customWidth="1"/>
    <col min="6" max="6" width="11.7265625" customWidth="1"/>
    <col min="7" max="7" width="13.6328125" customWidth="1"/>
    <col min="8" max="8" width="19.26953125" customWidth="1"/>
    <col min="9" max="9" width="23.26953125" customWidth="1"/>
    <col min="10" max="10" width="10.36328125" customWidth="1"/>
  </cols>
  <sheetData/>
  <pageMargins left="0.25" right="0.25"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C1085-79D5-4C30-B9AC-925729B674C1}">
  <dimension ref="A3:AG235"/>
  <sheetViews>
    <sheetView zoomScale="40" zoomScaleNormal="40" workbookViewId="0">
      <selection activeCell="H12" sqref="H12"/>
    </sheetView>
  </sheetViews>
  <sheetFormatPr defaultRowHeight="14.5" x14ac:dyDescent="0.35"/>
  <cols>
    <col min="1" max="1" width="20.453125" customWidth="1"/>
    <col min="2" max="2" width="25.1796875" bestFit="1" customWidth="1"/>
    <col min="3" max="3" width="19.54296875" bestFit="1" customWidth="1"/>
    <col min="4" max="4" width="19.54296875" customWidth="1"/>
    <col min="5" max="5" width="19.6328125" bestFit="1" customWidth="1"/>
    <col min="6" max="6" width="20.36328125" bestFit="1" customWidth="1"/>
    <col min="7" max="7" width="13.1796875" bestFit="1" customWidth="1"/>
    <col min="8" max="8" width="19.6328125" bestFit="1" customWidth="1"/>
    <col min="9" max="9" width="14.453125" bestFit="1" customWidth="1"/>
    <col min="10" max="10" width="19.54296875" bestFit="1" customWidth="1"/>
    <col min="11" max="11" width="15.453125" customWidth="1"/>
    <col min="12" max="12" width="19.6328125" bestFit="1" customWidth="1"/>
    <col min="13" max="13" width="18.36328125" bestFit="1" customWidth="1"/>
    <col min="14" max="14" width="10.6328125" bestFit="1" customWidth="1"/>
    <col min="15" max="15" width="9.453125" bestFit="1" customWidth="1"/>
    <col min="16" max="16" width="14.54296875" bestFit="1" customWidth="1"/>
    <col min="17" max="17" width="19.6328125" bestFit="1" customWidth="1"/>
    <col min="18" max="18" width="18.36328125" bestFit="1" customWidth="1"/>
    <col min="19" max="19" width="6.26953125" bestFit="1" customWidth="1"/>
    <col min="20" max="20" width="7.6328125" bestFit="1" customWidth="1"/>
    <col min="21" max="21" width="10.81640625" bestFit="1" customWidth="1"/>
    <col min="22" max="22" width="19.54296875" bestFit="1" customWidth="1"/>
    <col min="23" max="23" width="17" bestFit="1" customWidth="1"/>
    <col min="24" max="24" width="6.90625" bestFit="1" customWidth="1"/>
    <col min="25" max="25" width="7.36328125" bestFit="1" customWidth="1"/>
    <col min="26" max="26" width="5.7265625" bestFit="1" customWidth="1"/>
    <col min="27" max="27" width="9.36328125" bestFit="1" customWidth="1"/>
    <col min="28" max="28" width="7.6328125" bestFit="1" customWidth="1"/>
    <col min="29" max="29" width="5.1796875" bestFit="1" customWidth="1"/>
    <col min="30" max="30" width="7.1796875" bestFit="1" customWidth="1"/>
    <col min="31" max="31" width="6.1796875" bestFit="1" customWidth="1"/>
    <col min="32" max="32" width="7.54296875" bestFit="1" customWidth="1"/>
    <col min="33" max="33" width="10.7265625" bestFit="1" customWidth="1"/>
    <col min="34" max="34" width="11.54296875" bestFit="1" customWidth="1"/>
    <col min="35" max="35" width="7.36328125" bestFit="1" customWidth="1"/>
    <col min="36" max="36" width="5.81640625" bestFit="1" customWidth="1"/>
    <col min="37" max="37" width="3.81640625" bestFit="1" customWidth="1"/>
    <col min="38" max="43" width="5.81640625" bestFit="1" customWidth="1"/>
    <col min="44" max="44" width="4.81640625" bestFit="1" customWidth="1"/>
    <col min="45" max="51" width="6.81640625" bestFit="1" customWidth="1"/>
    <col min="52" max="52" width="4.81640625" bestFit="1" customWidth="1"/>
    <col min="53" max="54" width="6.81640625" bestFit="1" customWidth="1"/>
    <col min="55" max="55" width="10.26953125" bestFit="1" customWidth="1"/>
    <col min="56" max="56" width="11.08984375" bestFit="1" customWidth="1"/>
    <col min="57" max="66" width="5.81640625" bestFit="1" customWidth="1"/>
    <col min="67" max="75" width="6.81640625" bestFit="1" customWidth="1"/>
    <col min="76" max="76" width="14.08984375" bestFit="1" customWidth="1"/>
    <col min="77" max="77" width="6.81640625" bestFit="1" customWidth="1"/>
    <col min="78" max="81" width="5.81640625" bestFit="1" customWidth="1"/>
    <col min="82" max="82" width="3.81640625" bestFit="1" customWidth="1"/>
    <col min="83" max="84" width="4.81640625" bestFit="1" customWidth="1"/>
    <col min="85" max="85" width="6.81640625" bestFit="1" customWidth="1"/>
    <col min="86" max="86" width="4.81640625" bestFit="1" customWidth="1"/>
    <col min="87" max="87" width="6.81640625" bestFit="1" customWidth="1"/>
    <col min="88" max="88" width="4.81640625" bestFit="1" customWidth="1"/>
    <col min="89" max="95" width="6.81640625" bestFit="1" customWidth="1"/>
    <col min="96" max="96" width="9.7265625" bestFit="1" customWidth="1"/>
    <col min="97" max="97" width="9.1796875" bestFit="1" customWidth="1"/>
    <col min="98" max="102" width="5.81640625" bestFit="1" customWidth="1"/>
    <col min="103" max="114" width="6.81640625" bestFit="1" customWidth="1"/>
    <col min="115" max="115" width="12.08984375" bestFit="1" customWidth="1"/>
    <col min="116" max="116" width="10.7265625" bestFit="1" customWidth="1"/>
    <col min="117" max="158" width="5.7265625" bestFit="1" customWidth="1"/>
    <col min="159" max="160" width="4.7265625" bestFit="1" customWidth="1"/>
    <col min="161" max="161" width="10.81640625" bestFit="1" customWidth="1"/>
    <col min="162" max="497" width="5.7265625" bestFit="1" customWidth="1"/>
    <col min="498" max="979" width="6.81640625" bestFit="1" customWidth="1"/>
    <col min="980" max="980" width="10.81640625" bestFit="1" customWidth="1"/>
  </cols>
  <sheetData>
    <row r="3" spans="1:12" x14ac:dyDescent="0.35">
      <c r="F3" s="2"/>
    </row>
    <row r="4" spans="1:12" ht="21" x14ac:dyDescent="0.5">
      <c r="A4" s="22" t="s">
        <v>58</v>
      </c>
    </row>
    <row r="5" spans="1:12" x14ac:dyDescent="0.35">
      <c r="A5" s="9" t="s">
        <v>31</v>
      </c>
      <c r="B5" s="14"/>
      <c r="C5" s="54" t="s">
        <v>55</v>
      </c>
      <c r="D5" s="55"/>
      <c r="E5" s="20" t="s">
        <v>56</v>
      </c>
      <c r="F5" s="20"/>
      <c r="G5" s="20"/>
      <c r="H5" s="20"/>
      <c r="I5" s="21"/>
    </row>
    <row r="6" spans="1:12" x14ac:dyDescent="0.35">
      <c r="A6" s="10" t="s">
        <v>7</v>
      </c>
      <c r="B6" s="15">
        <v>0</v>
      </c>
      <c r="C6" s="10" t="s">
        <v>30</v>
      </c>
      <c r="D6" s="14" t="s">
        <v>23</v>
      </c>
      <c r="E6" s="46" t="s">
        <v>7</v>
      </c>
      <c r="F6" s="9" t="s">
        <v>32</v>
      </c>
      <c r="G6" s="10" t="s">
        <v>7</v>
      </c>
      <c r="H6" s="11">
        <v>0</v>
      </c>
      <c r="I6" s="9"/>
    </row>
    <row r="7" spans="1:12" x14ac:dyDescent="0.35">
      <c r="A7" s="9"/>
      <c r="B7" s="14"/>
      <c r="C7" s="11" t="s">
        <v>28</v>
      </c>
      <c r="D7" s="14">
        <v>308</v>
      </c>
      <c r="E7" s="21"/>
      <c r="F7" s="9"/>
      <c r="G7" s="9"/>
      <c r="H7" s="9"/>
      <c r="I7" s="9"/>
    </row>
    <row r="8" spans="1:12" x14ac:dyDescent="0.35">
      <c r="A8" s="9" t="s">
        <v>23</v>
      </c>
      <c r="B8" s="16" t="s">
        <v>52</v>
      </c>
      <c r="C8" s="11" t="s">
        <v>29</v>
      </c>
      <c r="D8" s="14">
        <v>607</v>
      </c>
      <c r="E8" s="10" t="s">
        <v>30</v>
      </c>
      <c r="F8" s="9" t="s">
        <v>23</v>
      </c>
      <c r="G8" s="10" t="s">
        <v>30</v>
      </c>
      <c r="H8" s="9" t="s">
        <v>23</v>
      </c>
      <c r="I8" s="18" t="s">
        <v>57</v>
      </c>
    </row>
    <row r="9" spans="1:12" ht="19.5" customHeight="1" x14ac:dyDescent="0.35">
      <c r="A9" s="9">
        <v>160</v>
      </c>
      <c r="B9" s="17">
        <f>GETPIVOTDATA("Shipment_ID",$A$8)/GETPIVOTDATA("Shipment_ID",$C$6)</f>
        <v>0.16</v>
      </c>
      <c r="C9" s="11" t="s">
        <v>27</v>
      </c>
      <c r="D9" s="14">
        <v>85</v>
      </c>
      <c r="E9" s="11" t="s">
        <v>28</v>
      </c>
      <c r="F9" s="9">
        <v>308</v>
      </c>
      <c r="G9" s="11" t="s">
        <v>28</v>
      </c>
      <c r="H9" s="9">
        <v>54</v>
      </c>
      <c r="I9" s="19">
        <f>GETPIVOTDATA("Shipment_ID",$G$8,"Shipment_Type_Eng","Air")/GETPIVOTDATA("Shipment_ID",$E$8,"Shipment_Type_Eng","Air")</f>
        <v>0.17532467532467533</v>
      </c>
    </row>
    <row r="10" spans="1:12" x14ac:dyDescent="0.35">
      <c r="C10" s="11" t="s">
        <v>24</v>
      </c>
      <c r="D10" s="14">
        <v>1000</v>
      </c>
      <c r="E10" s="11" t="s">
        <v>29</v>
      </c>
      <c r="F10" s="9">
        <v>607</v>
      </c>
      <c r="G10" s="11" t="s">
        <v>29</v>
      </c>
      <c r="H10" s="9">
        <v>93</v>
      </c>
      <c r="I10" s="19">
        <f>GETPIVOTDATA("Shipment_ID",$G$8,"Shipment_Type_Eng","Road")/GETPIVOTDATA("Shipment_ID",$E$8,"Shipment_Type_Eng","Road")</f>
        <v>0.15321252059308071</v>
      </c>
    </row>
    <row r="11" spans="1:12" x14ac:dyDescent="0.35">
      <c r="E11" s="11" t="s">
        <v>27</v>
      </c>
      <c r="F11" s="9">
        <v>85</v>
      </c>
      <c r="G11" s="11" t="s">
        <v>27</v>
      </c>
      <c r="H11" s="9">
        <v>13</v>
      </c>
      <c r="I11" s="19">
        <f>GETPIVOTDATA("Shipment_ID",$G$8,"Shipment_Type_Eng","Sea")/GETPIVOTDATA("Shipment_ID",$E$8,"Shipment_Type_Eng","Sea")</f>
        <v>0.15294117647058825</v>
      </c>
    </row>
    <row r="12" spans="1:12" x14ac:dyDescent="0.35">
      <c r="E12" s="11" t="s">
        <v>24</v>
      </c>
      <c r="F12" s="9">
        <v>1000</v>
      </c>
      <c r="G12" s="11" t="s">
        <v>24</v>
      </c>
      <c r="H12" s="9">
        <v>160</v>
      </c>
      <c r="I12" s="9"/>
    </row>
    <row r="13" spans="1:12" x14ac:dyDescent="0.35">
      <c r="L13" s="4"/>
    </row>
    <row r="15" spans="1:12" ht="21" x14ac:dyDescent="0.5">
      <c r="A15" s="22" t="s">
        <v>59</v>
      </c>
    </row>
    <row r="16" spans="1:12" x14ac:dyDescent="0.35">
      <c r="A16" s="56" t="s">
        <v>34</v>
      </c>
      <c r="B16" s="57"/>
      <c r="C16" s="58" t="s">
        <v>33</v>
      </c>
      <c r="D16" s="58"/>
      <c r="E16" s="58" t="s">
        <v>35</v>
      </c>
      <c r="F16" s="58"/>
    </row>
    <row r="17" spans="1:33" x14ac:dyDescent="0.35">
      <c r="C17" s="10" t="s">
        <v>7</v>
      </c>
      <c r="D17" s="11">
        <v>0</v>
      </c>
    </row>
    <row r="18" spans="1:33" x14ac:dyDescent="0.35">
      <c r="C18" s="9"/>
      <c r="D18" s="9"/>
    </row>
    <row r="19" spans="1:33" x14ac:dyDescent="0.35">
      <c r="A19" s="10" t="s">
        <v>30</v>
      </c>
      <c r="B19" s="14" t="s">
        <v>23</v>
      </c>
      <c r="C19" s="10" t="s">
        <v>30</v>
      </c>
      <c r="D19" s="9" t="s">
        <v>23</v>
      </c>
      <c r="E19" s="12" t="s">
        <v>47</v>
      </c>
      <c r="F19" s="12" t="s">
        <v>54</v>
      </c>
    </row>
    <row r="20" spans="1:33" x14ac:dyDescent="0.35">
      <c r="A20" s="11" t="s">
        <v>21</v>
      </c>
      <c r="B20" s="14">
        <v>95</v>
      </c>
      <c r="C20" s="11" t="s">
        <v>21</v>
      </c>
      <c r="D20" s="9">
        <v>10</v>
      </c>
      <c r="E20" s="11" t="s">
        <v>21</v>
      </c>
      <c r="F20" s="13">
        <f>GETPIVOTDATA("Shipment_ID",$C$19,"Destination_City","Adana")/GETPIVOTDATA("Shipment_ID",$A$19,"Destination_City","Adana")</f>
        <v>0.10526315789473684</v>
      </c>
      <c r="U20" s="2"/>
      <c r="AG20" s="2"/>
    </row>
    <row r="21" spans="1:33" x14ac:dyDescent="0.35">
      <c r="A21" s="11" t="s">
        <v>22</v>
      </c>
      <c r="B21" s="14">
        <v>115</v>
      </c>
      <c r="C21" s="11" t="s">
        <v>22</v>
      </c>
      <c r="D21" s="9">
        <v>23</v>
      </c>
      <c r="E21" s="11" t="s">
        <v>22</v>
      </c>
      <c r="F21" s="13">
        <f>GETPIVOTDATA("Shipment_ID",$C$19,"Destination_City","Ankara")/GETPIVOTDATA("Shipment_ID",$A$19,"Destination_City","Ankara")</f>
        <v>0.2</v>
      </c>
    </row>
    <row r="22" spans="1:33" x14ac:dyDescent="0.35">
      <c r="A22" s="11" t="s">
        <v>16</v>
      </c>
      <c r="B22" s="14">
        <v>94</v>
      </c>
      <c r="C22" s="11" t="s">
        <v>16</v>
      </c>
      <c r="D22" s="9">
        <v>14</v>
      </c>
      <c r="E22" s="11" t="s">
        <v>16</v>
      </c>
      <c r="F22" s="13">
        <f>GETPIVOTDATA("Shipment_ID",$C$19,"Destination_City","Antalya")/GETPIVOTDATA("Shipment_ID",$A$19,"Destination_City","Antalya")</f>
        <v>0.14893617021276595</v>
      </c>
    </row>
    <row r="23" spans="1:33" x14ac:dyDescent="0.35">
      <c r="A23" s="11" t="s">
        <v>12</v>
      </c>
      <c r="B23" s="14">
        <v>92</v>
      </c>
      <c r="C23" s="11" t="s">
        <v>12</v>
      </c>
      <c r="D23" s="9">
        <v>20</v>
      </c>
      <c r="E23" s="11" t="s">
        <v>12</v>
      </c>
      <c r="F23" s="13">
        <f>GETPIVOTDATA("Shipment_ID",$C$19,"Destination_City","Bursa")/GETPIVOTDATA("Shipment_ID",$A$19,"Destination_City","Bursa")</f>
        <v>0.21739130434782608</v>
      </c>
    </row>
    <row r="24" spans="1:33" x14ac:dyDescent="0.35">
      <c r="A24" s="11" t="s">
        <v>13</v>
      </c>
      <c r="B24" s="14">
        <v>108</v>
      </c>
      <c r="C24" s="11" t="s">
        <v>13</v>
      </c>
      <c r="D24" s="9">
        <v>20</v>
      </c>
      <c r="E24" s="11" t="s">
        <v>13</v>
      </c>
      <c r="F24" s="13">
        <f>GETPIVOTDATA("Shipment_ID",$C$19,"Destination_City","Gaziantep")/GETPIVOTDATA("Shipment_ID",$A$19,"Destination_City","Gaziantep")</f>
        <v>0.18518518518518517</v>
      </c>
    </row>
    <row r="25" spans="1:33" x14ac:dyDescent="0.35">
      <c r="A25" s="11" t="s">
        <v>9</v>
      </c>
      <c r="B25" s="14">
        <v>105</v>
      </c>
      <c r="C25" s="11" t="s">
        <v>9</v>
      </c>
      <c r="D25" s="9">
        <v>14</v>
      </c>
      <c r="E25" s="11" t="s">
        <v>9</v>
      </c>
      <c r="F25" s="13">
        <f>GETPIVOTDATA("Shipment_ID",$C$19,"Destination_City","İstanbul")/GETPIVOTDATA("Shipment_ID",$A$19,"Destination_City","İstanbul")</f>
        <v>0.13333333333333333</v>
      </c>
    </row>
    <row r="26" spans="1:33" x14ac:dyDescent="0.35">
      <c r="A26" s="11" t="s">
        <v>18</v>
      </c>
      <c r="B26" s="14">
        <v>93</v>
      </c>
      <c r="C26" s="11" t="s">
        <v>18</v>
      </c>
      <c r="D26" s="9">
        <v>19</v>
      </c>
      <c r="E26" s="11" t="s">
        <v>18</v>
      </c>
      <c r="F26" s="13">
        <f>GETPIVOTDATA("Shipment_ID",$C$19,"Destination_City","İzmir")/GETPIVOTDATA("Shipment_ID",$A$19,"Destination_City","İzmir")</f>
        <v>0.20430107526881722</v>
      </c>
    </row>
    <row r="27" spans="1:33" x14ac:dyDescent="0.35">
      <c r="A27" s="11" t="s">
        <v>17</v>
      </c>
      <c r="B27" s="14">
        <v>107</v>
      </c>
      <c r="C27" s="11" t="s">
        <v>17</v>
      </c>
      <c r="D27" s="9">
        <v>14</v>
      </c>
      <c r="E27" s="11" t="s">
        <v>17</v>
      </c>
      <c r="F27" s="13">
        <f>GETPIVOTDATA("Shipment_ID",$C$19,"Destination_City","Kayseri")/GETPIVOTDATA("Shipment_ID",$A$19,"Destination_City","Kayseri")</f>
        <v>0.13084112149532709</v>
      </c>
    </row>
    <row r="28" spans="1:33" x14ac:dyDescent="0.35">
      <c r="A28" s="11" t="s">
        <v>8</v>
      </c>
      <c r="B28" s="14">
        <v>88</v>
      </c>
      <c r="C28" s="11" t="s">
        <v>8</v>
      </c>
      <c r="D28" s="9">
        <v>8</v>
      </c>
      <c r="E28" s="11" t="s">
        <v>8</v>
      </c>
      <c r="F28" s="13">
        <f>GETPIVOTDATA("Shipment_ID",$C$19,"Destination_City","Konya")/GETPIVOTDATA("Shipment_ID",$A$19,"Destination_City","Konya")</f>
        <v>9.0909090909090912E-2</v>
      </c>
    </row>
    <row r="29" spans="1:33" x14ac:dyDescent="0.35">
      <c r="A29" s="11" t="s">
        <v>20</v>
      </c>
      <c r="B29" s="14">
        <v>103</v>
      </c>
      <c r="C29" s="11" t="s">
        <v>20</v>
      </c>
      <c r="D29" s="9">
        <v>18</v>
      </c>
      <c r="E29" s="11" t="s">
        <v>20</v>
      </c>
      <c r="F29" s="13">
        <f>GETPIVOTDATA("Shipment_ID",$C$19,"Destination_City","Samsun")/GETPIVOTDATA("Shipment_ID",$A$19,"Destination_City","Samsun")</f>
        <v>0.17475728155339806</v>
      </c>
    </row>
    <row r="30" spans="1:33" x14ac:dyDescent="0.35">
      <c r="A30" s="11" t="s">
        <v>24</v>
      </c>
      <c r="B30" s="14">
        <v>1000</v>
      </c>
      <c r="C30" s="11" t="s">
        <v>24</v>
      </c>
      <c r="D30" s="9">
        <v>160</v>
      </c>
    </row>
    <row r="33" spans="1:16" ht="21" x14ac:dyDescent="0.5">
      <c r="A33" s="22" t="s">
        <v>60</v>
      </c>
    </row>
    <row r="34" spans="1:16" x14ac:dyDescent="0.35">
      <c r="A34" t="s">
        <v>62</v>
      </c>
      <c r="F34" t="s">
        <v>63</v>
      </c>
      <c r="K34" t="s">
        <v>64</v>
      </c>
    </row>
    <row r="35" spans="1:16" x14ac:dyDescent="0.35">
      <c r="A35" s="23" t="s">
        <v>46</v>
      </c>
      <c r="B35" s="24" t="s">
        <v>47</v>
      </c>
      <c r="C35" s="24" t="s">
        <v>48</v>
      </c>
      <c r="D35" s="24" t="s">
        <v>53</v>
      </c>
      <c r="E35" s="25" t="s">
        <v>38</v>
      </c>
      <c r="F35" s="34" t="s">
        <v>46</v>
      </c>
      <c r="G35" s="37" t="s">
        <v>50</v>
      </c>
      <c r="H35" s="37" t="s">
        <v>51</v>
      </c>
      <c r="I35" s="37" t="s">
        <v>49</v>
      </c>
      <c r="J35" s="33" t="s">
        <v>61</v>
      </c>
      <c r="K35" s="34" t="s">
        <v>51</v>
      </c>
      <c r="L35" s="42" t="s">
        <v>57</v>
      </c>
    </row>
    <row r="36" spans="1:16" x14ac:dyDescent="0.35">
      <c r="A36" s="26" t="s">
        <v>21</v>
      </c>
      <c r="B36" s="27" t="s">
        <v>18</v>
      </c>
      <c r="C36" s="40">
        <v>10</v>
      </c>
      <c r="D36" s="27" t="str">
        <f>A36&amp;" → "&amp;B36</f>
        <v>Adana → İzmir</v>
      </c>
      <c r="E36" s="28">
        <v>0.5</v>
      </c>
      <c r="F36" s="21" t="s">
        <v>21</v>
      </c>
      <c r="G36" s="9" t="s">
        <v>18</v>
      </c>
      <c r="H36" s="9" t="s">
        <v>29</v>
      </c>
      <c r="I36" s="9">
        <v>3</v>
      </c>
      <c r="J36" s="17">
        <f t="shared" ref="J36:J44" si="0">I36/SUMIFS($I$36:$I$44,$F$36:$F$44,F36,$G$36:$G$44,G36)</f>
        <v>0.6</v>
      </c>
      <c r="K36" s="21" t="s">
        <v>29</v>
      </c>
      <c r="L36" s="43">
        <f>SUM(I36,I38,I40,I42,I44)/24</f>
        <v>0.66666666666666663</v>
      </c>
    </row>
    <row r="37" spans="1:16" x14ac:dyDescent="0.35">
      <c r="A37" s="26" t="s">
        <v>17</v>
      </c>
      <c r="B37" s="27" t="s">
        <v>22</v>
      </c>
      <c r="C37" s="40">
        <v>16</v>
      </c>
      <c r="D37" s="27" t="str">
        <f>A37&amp;" → "&amp;B37</f>
        <v>Kayseri → Ankara</v>
      </c>
      <c r="E37" s="28">
        <v>0.375</v>
      </c>
      <c r="F37" s="21" t="s">
        <v>21</v>
      </c>
      <c r="G37" s="9" t="s">
        <v>18</v>
      </c>
      <c r="H37" s="9" t="s">
        <v>28</v>
      </c>
      <c r="I37" s="9">
        <v>2</v>
      </c>
      <c r="J37" s="17">
        <f t="shared" si="0"/>
        <v>0.4</v>
      </c>
      <c r="K37" s="32" t="s">
        <v>28</v>
      </c>
      <c r="L37" s="44">
        <f>SUM(I37,I39,I41,I43)/24</f>
        <v>0.33333333333333331</v>
      </c>
    </row>
    <row r="38" spans="1:16" x14ac:dyDescent="0.35">
      <c r="A38" s="26" t="s">
        <v>21</v>
      </c>
      <c r="B38" s="27" t="s">
        <v>12</v>
      </c>
      <c r="C38" s="40">
        <v>12</v>
      </c>
      <c r="D38" s="27" t="str">
        <f>A38&amp;" → "&amp;B38</f>
        <v>Adana → Bursa</v>
      </c>
      <c r="E38" s="28">
        <v>0.33333333333333298</v>
      </c>
      <c r="F38" s="21" t="s">
        <v>17</v>
      </c>
      <c r="G38" s="9" t="s">
        <v>22</v>
      </c>
      <c r="H38" s="9" t="s">
        <v>29</v>
      </c>
      <c r="I38" s="9">
        <v>3</v>
      </c>
      <c r="J38" s="17">
        <f t="shared" si="0"/>
        <v>0.5</v>
      </c>
      <c r="L38" s="4"/>
    </row>
    <row r="39" spans="1:16" x14ac:dyDescent="0.35">
      <c r="A39" s="26" t="s">
        <v>17</v>
      </c>
      <c r="B39" s="27" t="s">
        <v>12</v>
      </c>
      <c r="C39" s="40">
        <v>15</v>
      </c>
      <c r="D39" s="27" t="str">
        <f>A39&amp;" → "&amp;B39</f>
        <v>Kayseri → Bursa</v>
      </c>
      <c r="E39" s="28">
        <v>0.33333333333333337</v>
      </c>
      <c r="F39" s="21" t="s">
        <v>17</v>
      </c>
      <c r="G39" s="9" t="s">
        <v>22</v>
      </c>
      <c r="H39" s="9" t="s">
        <v>28</v>
      </c>
      <c r="I39" s="9">
        <v>3</v>
      </c>
      <c r="J39" s="17">
        <f t="shared" si="0"/>
        <v>0.5</v>
      </c>
      <c r="L39" s="4"/>
    </row>
    <row r="40" spans="1:16" x14ac:dyDescent="0.35">
      <c r="A40" s="29" t="s">
        <v>21</v>
      </c>
      <c r="B40" s="30" t="s">
        <v>20</v>
      </c>
      <c r="C40" s="41">
        <v>13</v>
      </c>
      <c r="D40" s="30" t="str">
        <f>A40&amp;" → "&amp;B40</f>
        <v>Adana → Samsun</v>
      </c>
      <c r="E40" s="31">
        <v>0.30769230769230771</v>
      </c>
      <c r="F40" s="21" t="s">
        <v>21</v>
      </c>
      <c r="G40" s="9" t="s">
        <v>12</v>
      </c>
      <c r="H40" s="9" t="s">
        <v>29</v>
      </c>
      <c r="I40" s="9">
        <v>2</v>
      </c>
      <c r="J40" s="17">
        <f t="shared" si="0"/>
        <v>0.5</v>
      </c>
      <c r="L40" s="4"/>
    </row>
    <row r="41" spans="1:16" x14ac:dyDescent="0.35">
      <c r="F41" s="21" t="s">
        <v>21</v>
      </c>
      <c r="G41" s="9" t="s">
        <v>12</v>
      </c>
      <c r="H41" s="9" t="s">
        <v>28</v>
      </c>
      <c r="I41" s="9">
        <v>2</v>
      </c>
      <c r="J41" s="17">
        <f t="shared" si="0"/>
        <v>0.5</v>
      </c>
      <c r="L41" s="4"/>
    </row>
    <row r="42" spans="1:16" x14ac:dyDescent="0.35">
      <c r="E42" s="35"/>
      <c r="F42" s="21" t="s">
        <v>17</v>
      </c>
      <c r="G42" s="9" t="s">
        <v>12</v>
      </c>
      <c r="H42" s="9" t="s">
        <v>29</v>
      </c>
      <c r="I42" s="9">
        <v>4</v>
      </c>
      <c r="J42" s="17">
        <f t="shared" si="0"/>
        <v>0.8</v>
      </c>
      <c r="L42" s="4"/>
    </row>
    <row r="43" spans="1:16" x14ac:dyDescent="0.35">
      <c r="E43" s="36"/>
      <c r="F43" s="21" t="s">
        <v>17</v>
      </c>
      <c r="G43" s="9" t="s">
        <v>12</v>
      </c>
      <c r="H43" s="9" t="s">
        <v>28</v>
      </c>
      <c r="I43" s="9">
        <v>1</v>
      </c>
      <c r="J43" s="17">
        <f t="shared" si="0"/>
        <v>0.2</v>
      </c>
      <c r="L43" s="4"/>
    </row>
    <row r="44" spans="1:16" x14ac:dyDescent="0.35">
      <c r="E44" s="36"/>
      <c r="F44" s="32" t="s">
        <v>21</v>
      </c>
      <c r="G44" s="38" t="s">
        <v>20</v>
      </c>
      <c r="H44" s="38" t="s">
        <v>29</v>
      </c>
      <c r="I44" s="38">
        <v>4</v>
      </c>
      <c r="J44" s="39">
        <f t="shared" si="0"/>
        <v>1</v>
      </c>
    </row>
    <row r="46" spans="1:16" x14ac:dyDescent="0.35">
      <c r="E46" s="36"/>
    </row>
    <row r="47" spans="1:16" ht="21" x14ac:dyDescent="0.5">
      <c r="A47" s="22" t="s">
        <v>65</v>
      </c>
      <c r="E47" s="36"/>
    </row>
    <row r="48" spans="1:16" x14ac:dyDescent="0.35">
      <c r="A48" t="s">
        <v>67</v>
      </c>
      <c r="H48" t="s">
        <v>68</v>
      </c>
      <c r="M48" s="9" t="s">
        <v>69</v>
      </c>
      <c r="N48" s="9"/>
      <c r="O48" s="9"/>
      <c r="P48" s="9"/>
    </row>
    <row r="49" spans="1:16" x14ac:dyDescent="0.35">
      <c r="A49" s="47" t="s">
        <v>1</v>
      </c>
      <c r="B49" s="47" t="s">
        <v>2</v>
      </c>
      <c r="C49" s="47" t="s">
        <v>23</v>
      </c>
      <c r="D49" s="47" t="s">
        <v>37</v>
      </c>
      <c r="E49" s="47" t="s">
        <v>38</v>
      </c>
      <c r="F49" s="47" t="s">
        <v>66</v>
      </c>
      <c r="H49" s="50" t="s">
        <v>45</v>
      </c>
      <c r="I49" s="37" t="s">
        <v>23</v>
      </c>
      <c r="J49" s="51" t="s">
        <v>37</v>
      </c>
      <c r="K49" s="52" t="s">
        <v>38</v>
      </c>
      <c r="M49" s="10" t="s">
        <v>30</v>
      </c>
      <c r="N49" s="9" t="s">
        <v>23</v>
      </c>
      <c r="O49" s="9" t="s">
        <v>37</v>
      </c>
      <c r="P49" s="12" t="s">
        <v>38</v>
      </c>
    </row>
    <row r="50" spans="1:16" x14ac:dyDescent="0.35">
      <c r="A50" s="9" t="s">
        <v>21</v>
      </c>
      <c r="B50" s="9" t="s">
        <v>18</v>
      </c>
      <c r="C50" s="9">
        <v>10</v>
      </c>
      <c r="D50" s="13">
        <v>0.5</v>
      </c>
      <c r="E50" s="13">
        <v>0.5</v>
      </c>
      <c r="F50" s="48">
        <f>Table3[[#This Row],[Late rate]]-16%</f>
        <v>0.33999999999999997</v>
      </c>
      <c r="H50" s="11" t="s">
        <v>40</v>
      </c>
      <c r="I50" s="9">
        <v>245</v>
      </c>
      <c r="J50" s="48">
        <v>0.84897959183673466</v>
      </c>
      <c r="K50" s="49">
        <f>1-$J50</f>
        <v>0.15102040816326534</v>
      </c>
      <c r="M50" s="11" t="s">
        <v>44</v>
      </c>
      <c r="N50" s="9">
        <v>304</v>
      </c>
      <c r="O50" s="48">
        <v>0.86513157894736847</v>
      </c>
      <c r="P50" s="48">
        <f>1-O50</f>
        <v>0.13486842105263153</v>
      </c>
    </row>
    <row r="51" spans="1:16" x14ac:dyDescent="0.35">
      <c r="A51" s="9" t="s">
        <v>12</v>
      </c>
      <c r="B51" s="9" t="s">
        <v>18</v>
      </c>
      <c r="C51" s="9">
        <v>9</v>
      </c>
      <c r="D51" s="13">
        <v>0.55555555555555558</v>
      </c>
      <c r="E51" s="13">
        <v>0.44444444444444442</v>
      </c>
      <c r="F51" s="19">
        <f>Table3[[#This Row],[Late rate]]-16%</f>
        <v>0.28444444444444439</v>
      </c>
      <c r="H51" s="11" t="s">
        <v>41</v>
      </c>
      <c r="I51" s="9">
        <v>248</v>
      </c>
      <c r="J51" s="48">
        <v>0.81048387096774188</v>
      </c>
      <c r="K51" s="49">
        <f>1-$J51</f>
        <v>0.18951612903225812</v>
      </c>
      <c r="M51" s="11" t="s">
        <v>36</v>
      </c>
      <c r="N51" s="9">
        <v>696</v>
      </c>
      <c r="O51" s="48">
        <v>0.82902298850574707</v>
      </c>
      <c r="P51" s="48">
        <f t="shared" ref="P51:P52" si="1">1-O51</f>
        <v>0.17097701149425293</v>
      </c>
    </row>
    <row r="52" spans="1:16" x14ac:dyDescent="0.35">
      <c r="A52" s="9" t="s">
        <v>9</v>
      </c>
      <c r="B52" s="9" t="s">
        <v>20</v>
      </c>
      <c r="C52" s="9">
        <v>9</v>
      </c>
      <c r="D52" s="13">
        <v>0.55555555555555558</v>
      </c>
      <c r="E52" s="13">
        <v>0.44444444444444442</v>
      </c>
      <c r="F52" s="19">
        <f>Table3[[#This Row],[Late rate]]-16%</f>
        <v>0.28444444444444439</v>
      </c>
      <c r="H52" s="11" t="s">
        <v>42</v>
      </c>
      <c r="I52" s="9">
        <v>245</v>
      </c>
      <c r="J52" s="48">
        <v>0.84081632653061222</v>
      </c>
      <c r="K52" s="49">
        <f>1-$J52</f>
        <v>0.15918367346938778</v>
      </c>
      <c r="M52" s="11" t="s">
        <v>24</v>
      </c>
      <c r="N52" s="9">
        <v>1000</v>
      </c>
      <c r="O52" s="48">
        <v>0.84</v>
      </c>
      <c r="P52" s="48">
        <f t="shared" si="1"/>
        <v>0.16000000000000003</v>
      </c>
    </row>
    <row r="53" spans="1:16" x14ac:dyDescent="0.35">
      <c r="A53" s="9" t="s">
        <v>17</v>
      </c>
      <c r="B53" s="9" t="s">
        <v>22</v>
      </c>
      <c r="C53" s="9">
        <v>16</v>
      </c>
      <c r="D53" s="13">
        <v>0.625</v>
      </c>
      <c r="E53" s="13">
        <v>0.375</v>
      </c>
      <c r="F53" s="19">
        <f>Table3[[#This Row],[Late rate]]-16%</f>
        <v>0.215</v>
      </c>
      <c r="H53" s="11" t="s">
        <v>43</v>
      </c>
      <c r="I53" s="9">
        <v>262</v>
      </c>
      <c r="J53" s="48">
        <v>0.85877862595419852</v>
      </c>
      <c r="K53" s="49">
        <f>1-$J53</f>
        <v>0.14122137404580148</v>
      </c>
    </row>
    <row r="54" spans="1:16" x14ac:dyDescent="0.35">
      <c r="A54" s="9" t="s">
        <v>21</v>
      </c>
      <c r="B54" s="9" t="s">
        <v>12</v>
      </c>
      <c r="C54" s="9">
        <v>12</v>
      </c>
      <c r="D54" s="13">
        <v>0.66666666666666663</v>
      </c>
      <c r="E54" s="13">
        <v>0.33333333333333337</v>
      </c>
      <c r="F54" s="19">
        <f>Table3[[#This Row],[Late rate]]-16%</f>
        <v>0.17333333333333337</v>
      </c>
      <c r="H54" s="11" t="s">
        <v>24</v>
      </c>
      <c r="I54" s="9">
        <v>1000</v>
      </c>
      <c r="J54" s="48">
        <v>0.84</v>
      </c>
      <c r="K54" s="49"/>
    </row>
    <row r="55" spans="1:16" x14ac:dyDescent="0.35">
      <c r="A55" s="9" t="s">
        <v>17</v>
      </c>
      <c r="B55" s="9" t="s">
        <v>12</v>
      </c>
      <c r="C55" s="9">
        <v>15</v>
      </c>
      <c r="D55" s="13">
        <v>0.66666666666666663</v>
      </c>
      <c r="E55" s="13">
        <v>0.33333333333333337</v>
      </c>
      <c r="F55" s="19">
        <f>Table3[[#This Row],[Late rate]]-16%</f>
        <v>0.17333333333333337</v>
      </c>
      <c r="K55" s="6"/>
    </row>
    <row r="56" spans="1:16" x14ac:dyDescent="0.35">
      <c r="A56" s="9" t="s">
        <v>21</v>
      </c>
      <c r="B56" s="9" t="s">
        <v>20</v>
      </c>
      <c r="C56" s="9">
        <v>13</v>
      </c>
      <c r="D56" s="13">
        <v>0.69230769230769229</v>
      </c>
      <c r="E56" s="13">
        <v>0.30769230769230771</v>
      </c>
      <c r="F56" s="19">
        <f>Table3[[#This Row],[Late rate]]-16%</f>
        <v>0.14769230769230771</v>
      </c>
      <c r="H56" s="10" t="s">
        <v>30</v>
      </c>
      <c r="I56" s="9" t="s">
        <v>23</v>
      </c>
      <c r="J56" s="48" t="s">
        <v>37</v>
      </c>
      <c r="K56" s="12" t="s">
        <v>38</v>
      </c>
    </row>
    <row r="57" spans="1:16" x14ac:dyDescent="0.35">
      <c r="A57" s="9" t="s">
        <v>8</v>
      </c>
      <c r="B57" s="9" t="s">
        <v>22</v>
      </c>
      <c r="C57" s="9">
        <v>13</v>
      </c>
      <c r="D57" s="13">
        <v>0.69230769230769229</v>
      </c>
      <c r="E57" s="13">
        <v>0.30769230769230771</v>
      </c>
      <c r="F57" s="19">
        <f>Table3[[#This Row],[Late rate]]-16%</f>
        <v>0.14769230769230771</v>
      </c>
      <c r="H57" s="11" t="s">
        <v>40</v>
      </c>
      <c r="I57" s="9">
        <v>298</v>
      </c>
      <c r="J57" s="48">
        <v>0.80201342281879195</v>
      </c>
      <c r="K57" s="48">
        <f>1-J57</f>
        <v>0.19798657718120805</v>
      </c>
    </row>
    <row r="58" spans="1:16" x14ac:dyDescent="0.35">
      <c r="A58" s="9" t="s">
        <v>20</v>
      </c>
      <c r="B58" s="9" t="s">
        <v>12</v>
      </c>
      <c r="C58" s="9">
        <v>10</v>
      </c>
      <c r="D58" s="13">
        <v>0.7</v>
      </c>
      <c r="E58" s="13">
        <v>0.30000000000000004</v>
      </c>
      <c r="F58" s="19">
        <f>Table3[[#This Row],[Late rate]]-16%</f>
        <v>0.14000000000000004</v>
      </c>
      <c r="H58" s="11" t="s">
        <v>41</v>
      </c>
      <c r="I58" s="9">
        <v>246</v>
      </c>
      <c r="J58" s="48">
        <v>0.89430894308943087</v>
      </c>
      <c r="K58" s="48">
        <f t="shared" ref="K58:K61" si="2">1-J58</f>
        <v>0.10569105691056913</v>
      </c>
    </row>
    <row r="59" spans="1:16" x14ac:dyDescent="0.35">
      <c r="A59" s="9" t="s">
        <v>20</v>
      </c>
      <c r="B59" s="9" t="s">
        <v>13</v>
      </c>
      <c r="C59" s="9">
        <v>10</v>
      </c>
      <c r="D59" s="13">
        <v>0.7</v>
      </c>
      <c r="E59" s="13">
        <v>0.30000000000000004</v>
      </c>
      <c r="F59" s="19">
        <f>Table3[[#This Row],[Late rate]]-16%</f>
        <v>0.14000000000000004</v>
      </c>
      <c r="H59" s="11" t="s">
        <v>42</v>
      </c>
      <c r="I59" s="9">
        <v>235</v>
      </c>
      <c r="J59" s="48">
        <v>0.82978723404255317</v>
      </c>
      <c r="K59" s="48">
        <f t="shared" si="2"/>
        <v>0.17021276595744683</v>
      </c>
    </row>
    <row r="60" spans="1:16" x14ac:dyDescent="0.35">
      <c r="A60" s="9" t="s">
        <v>16</v>
      </c>
      <c r="B60" s="9" t="s">
        <v>22</v>
      </c>
      <c r="C60" s="9">
        <v>7</v>
      </c>
      <c r="D60" s="13">
        <v>0.7142857142857143</v>
      </c>
      <c r="E60" s="13">
        <v>0.2857142857142857</v>
      </c>
      <c r="F60" s="19">
        <f>Table3[[#This Row],[Late rate]]-16%</f>
        <v>0.1257142857142857</v>
      </c>
      <c r="H60" s="11" t="s">
        <v>43</v>
      </c>
      <c r="I60" s="9">
        <v>221</v>
      </c>
      <c r="J60" s="48">
        <v>0.84162895927601811</v>
      </c>
      <c r="K60" s="48">
        <f t="shared" si="2"/>
        <v>0.15837104072398189</v>
      </c>
    </row>
    <row r="61" spans="1:16" x14ac:dyDescent="0.35">
      <c r="A61" s="9" t="s">
        <v>21</v>
      </c>
      <c r="B61" s="9" t="s">
        <v>16</v>
      </c>
      <c r="C61" s="9">
        <v>8</v>
      </c>
      <c r="D61" s="13">
        <v>0.75</v>
      </c>
      <c r="E61" s="13">
        <v>0.25</v>
      </c>
      <c r="F61" s="19">
        <f>Table3[[#This Row],[Late rate]]-16%</f>
        <v>0.09</v>
      </c>
      <c r="H61" s="11" t="s">
        <v>24</v>
      </c>
      <c r="I61" s="9">
        <v>1000</v>
      </c>
      <c r="J61" s="48">
        <v>0.84</v>
      </c>
      <c r="K61" s="48">
        <f t="shared" si="2"/>
        <v>0.16000000000000003</v>
      </c>
    </row>
    <row r="62" spans="1:16" x14ac:dyDescent="0.35">
      <c r="A62" s="9" t="s">
        <v>22</v>
      </c>
      <c r="B62" s="9" t="s">
        <v>12</v>
      </c>
      <c r="C62" s="9">
        <v>8</v>
      </c>
      <c r="D62" s="13">
        <v>0.75</v>
      </c>
      <c r="E62" s="13">
        <v>0.25</v>
      </c>
      <c r="F62" s="19">
        <f>Table3[[#This Row],[Late rate]]-16%</f>
        <v>0.09</v>
      </c>
    </row>
    <row r="63" spans="1:16" x14ac:dyDescent="0.35">
      <c r="A63" s="9" t="s">
        <v>13</v>
      </c>
      <c r="B63" s="9" t="s">
        <v>22</v>
      </c>
      <c r="C63" s="9">
        <v>12</v>
      </c>
      <c r="D63" s="13">
        <v>0.75</v>
      </c>
      <c r="E63" s="13">
        <v>0.25</v>
      </c>
      <c r="F63" s="19">
        <f>Table3[[#This Row],[Late rate]]-16%</f>
        <v>0.09</v>
      </c>
      <c r="H63" s="53" t="s">
        <v>45</v>
      </c>
      <c r="I63" s="53" t="s">
        <v>38</v>
      </c>
    </row>
    <row r="64" spans="1:16" x14ac:dyDescent="0.35">
      <c r="A64" s="9" t="s">
        <v>13</v>
      </c>
      <c r="B64" s="9" t="s">
        <v>20</v>
      </c>
      <c r="C64" s="9">
        <v>12</v>
      </c>
      <c r="D64" s="13">
        <v>0.75</v>
      </c>
      <c r="E64" s="13">
        <v>0.25</v>
      </c>
      <c r="F64" s="19">
        <f>Table3[[#This Row],[Late rate]]-16%</f>
        <v>0.09</v>
      </c>
      <c r="H64" s="9" t="s">
        <v>40</v>
      </c>
      <c r="I64" s="13">
        <v>0.19798657718120805</v>
      </c>
    </row>
    <row r="65" spans="1:31" x14ac:dyDescent="0.35">
      <c r="A65" s="9" t="s">
        <v>8</v>
      </c>
      <c r="B65" s="9" t="s">
        <v>16</v>
      </c>
      <c r="C65" s="9">
        <v>8</v>
      </c>
      <c r="D65" s="13">
        <v>0.75</v>
      </c>
      <c r="E65" s="13">
        <v>0.25</v>
      </c>
      <c r="F65" s="19">
        <f>Table3[[#This Row],[Late rate]]-16%</f>
        <v>0.09</v>
      </c>
      <c r="H65" s="9" t="s">
        <v>43</v>
      </c>
      <c r="I65" s="13">
        <v>0.15837104072398189</v>
      </c>
    </row>
    <row r="66" spans="1:31" x14ac:dyDescent="0.35">
      <c r="A66" s="9" t="s">
        <v>20</v>
      </c>
      <c r="B66" s="9" t="s">
        <v>21</v>
      </c>
      <c r="C66" s="9">
        <v>8</v>
      </c>
      <c r="D66" s="13">
        <v>0.75</v>
      </c>
      <c r="E66" s="13">
        <v>0.25</v>
      </c>
      <c r="F66" s="19">
        <f>Table3[[#This Row],[Late rate]]-16%</f>
        <v>0.09</v>
      </c>
      <c r="H66" s="9" t="s">
        <v>41</v>
      </c>
      <c r="I66" s="13">
        <v>0.10569105691056913</v>
      </c>
    </row>
    <row r="67" spans="1:31" x14ac:dyDescent="0.35">
      <c r="A67" s="9" t="s">
        <v>8</v>
      </c>
      <c r="B67" s="9" t="s">
        <v>13</v>
      </c>
      <c r="C67" s="9">
        <v>17</v>
      </c>
      <c r="D67" s="13">
        <v>0.76470588235294112</v>
      </c>
      <c r="E67" s="13">
        <v>0.23529411764705888</v>
      </c>
      <c r="F67" s="19">
        <f>Table3[[#This Row],[Late rate]]-16%</f>
        <v>7.5294117647058872E-2</v>
      </c>
      <c r="H67" s="9" t="s">
        <v>42</v>
      </c>
      <c r="I67" s="13">
        <v>0.17021276595744683</v>
      </c>
    </row>
    <row r="68" spans="1:31" x14ac:dyDescent="0.35">
      <c r="A68" s="9" t="s">
        <v>21</v>
      </c>
      <c r="B68" s="9" t="s">
        <v>13</v>
      </c>
      <c r="C68" s="9">
        <v>13</v>
      </c>
      <c r="D68" s="13">
        <v>0.76923076923076927</v>
      </c>
      <c r="E68" s="13">
        <v>0.23076923076923073</v>
      </c>
      <c r="F68" s="19">
        <f>Table3[[#This Row],[Late rate]]-16%</f>
        <v>7.0769230769230723E-2</v>
      </c>
      <c r="Y68" s="7"/>
      <c r="Z68" s="7"/>
      <c r="AA68" s="7"/>
      <c r="AB68" s="7"/>
    </row>
    <row r="69" spans="1:31" x14ac:dyDescent="0.35">
      <c r="A69" s="9" t="s">
        <v>22</v>
      </c>
      <c r="B69" s="9" t="s">
        <v>9</v>
      </c>
      <c r="C69" s="9">
        <v>9</v>
      </c>
      <c r="D69" s="13">
        <v>0.77777777777777779</v>
      </c>
      <c r="E69" s="13">
        <v>0.22222222222222221</v>
      </c>
      <c r="F69" s="19">
        <f>Table3[[#This Row],[Late rate]]-16%</f>
        <v>6.2222222222222207E-2</v>
      </c>
      <c r="Y69" s="7"/>
      <c r="Z69" s="7"/>
      <c r="AA69" s="7"/>
      <c r="AB69" s="7"/>
    </row>
    <row r="70" spans="1:31" x14ac:dyDescent="0.35">
      <c r="A70" s="9" t="s">
        <v>22</v>
      </c>
      <c r="B70" s="9" t="s">
        <v>18</v>
      </c>
      <c r="C70" s="9">
        <v>9</v>
      </c>
      <c r="D70" s="13">
        <v>0.77777777777777779</v>
      </c>
      <c r="E70" s="13">
        <v>0.22222222222222221</v>
      </c>
      <c r="F70" s="19">
        <f>Table3[[#This Row],[Late rate]]-16%</f>
        <v>6.2222222222222207E-2</v>
      </c>
      <c r="AE70" s="2"/>
    </row>
    <row r="71" spans="1:31" x14ac:dyDescent="0.35">
      <c r="A71" s="9" t="s">
        <v>22</v>
      </c>
      <c r="B71" s="9" t="s">
        <v>17</v>
      </c>
      <c r="C71" s="9">
        <v>9</v>
      </c>
      <c r="D71" s="13">
        <v>0.77777777777777779</v>
      </c>
      <c r="E71" s="13">
        <v>0.22222222222222221</v>
      </c>
      <c r="F71" s="19">
        <f>Table3[[#This Row],[Late rate]]-16%</f>
        <v>6.2222222222222207E-2</v>
      </c>
    </row>
    <row r="72" spans="1:31" x14ac:dyDescent="0.35">
      <c r="A72" s="9" t="s">
        <v>22</v>
      </c>
      <c r="B72" s="9" t="s">
        <v>20</v>
      </c>
      <c r="C72" s="9">
        <v>9</v>
      </c>
      <c r="D72" s="13">
        <v>0.77777777777777779</v>
      </c>
      <c r="E72" s="13">
        <v>0.22222222222222221</v>
      </c>
      <c r="F72" s="19">
        <f>Table3[[#This Row],[Late rate]]-16%</f>
        <v>6.2222222222222207E-2</v>
      </c>
    </row>
    <row r="73" spans="1:31" x14ac:dyDescent="0.35">
      <c r="A73" s="9" t="s">
        <v>17</v>
      </c>
      <c r="B73" s="9" t="s">
        <v>21</v>
      </c>
      <c r="C73" s="9">
        <v>9</v>
      </c>
      <c r="D73" s="13">
        <v>0.77777777777777779</v>
      </c>
      <c r="E73" s="13">
        <v>0.22222222222222221</v>
      </c>
      <c r="F73" s="19">
        <f>Table3[[#This Row],[Late rate]]-16%</f>
        <v>6.2222222222222207E-2</v>
      </c>
    </row>
    <row r="74" spans="1:31" x14ac:dyDescent="0.35">
      <c r="A74" s="9" t="s">
        <v>13</v>
      </c>
      <c r="B74" s="9" t="s">
        <v>17</v>
      </c>
      <c r="C74" s="9">
        <v>14</v>
      </c>
      <c r="D74" s="13">
        <v>0.7857142857142857</v>
      </c>
      <c r="E74" s="13">
        <v>0.2142857142857143</v>
      </c>
      <c r="F74" s="19">
        <f>Table3[[#This Row],[Late rate]]-16%</f>
        <v>5.4285714285714298E-2</v>
      </c>
    </row>
    <row r="75" spans="1:31" x14ac:dyDescent="0.35">
      <c r="A75" s="9" t="s">
        <v>22</v>
      </c>
      <c r="B75" s="9" t="s">
        <v>13</v>
      </c>
      <c r="C75" s="9">
        <v>10</v>
      </c>
      <c r="D75" s="13">
        <v>0.8</v>
      </c>
      <c r="E75" s="13">
        <v>0.19999999999999996</v>
      </c>
      <c r="F75" s="19">
        <f>Table3[[#This Row],[Late rate]]-16%</f>
        <v>3.9999999999999952E-2</v>
      </c>
    </row>
    <row r="76" spans="1:31" x14ac:dyDescent="0.35">
      <c r="A76" s="9" t="s">
        <v>16</v>
      </c>
      <c r="B76" s="9" t="s">
        <v>13</v>
      </c>
      <c r="C76" s="9">
        <v>10</v>
      </c>
      <c r="D76" s="13">
        <v>0.8</v>
      </c>
      <c r="E76" s="13">
        <v>0.19999999999999996</v>
      </c>
      <c r="F76" s="19">
        <f>Table3[[#This Row],[Late rate]]-16%</f>
        <v>3.9999999999999952E-2</v>
      </c>
    </row>
    <row r="77" spans="1:31" x14ac:dyDescent="0.35">
      <c r="A77" s="9" t="s">
        <v>13</v>
      </c>
      <c r="B77" s="9" t="s">
        <v>16</v>
      </c>
      <c r="C77" s="9">
        <v>10</v>
      </c>
      <c r="D77" s="13">
        <v>0.8</v>
      </c>
      <c r="E77" s="13">
        <v>0.19999999999999996</v>
      </c>
      <c r="F77" s="19">
        <f>Table3[[#This Row],[Late rate]]-16%</f>
        <v>3.9999999999999952E-2</v>
      </c>
    </row>
    <row r="78" spans="1:31" x14ac:dyDescent="0.35">
      <c r="A78" s="9" t="s">
        <v>17</v>
      </c>
      <c r="B78" s="9" t="s">
        <v>18</v>
      </c>
      <c r="C78" s="9">
        <v>10</v>
      </c>
      <c r="D78" s="13">
        <v>0.8</v>
      </c>
      <c r="E78" s="13">
        <v>0.19999999999999996</v>
      </c>
      <c r="F78" s="19">
        <f>Table3[[#This Row],[Late rate]]-16%</f>
        <v>3.9999999999999952E-2</v>
      </c>
    </row>
    <row r="79" spans="1:31" x14ac:dyDescent="0.35">
      <c r="A79" s="9" t="s">
        <v>8</v>
      </c>
      <c r="B79" s="9" t="s">
        <v>9</v>
      </c>
      <c r="C79" s="9">
        <v>10</v>
      </c>
      <c r="D79" s="13">
        <v>0.8</v>
      </c>
      <c r="E79" s="13">
        <v>0.19999999999999996</v>
      </c>
      <c r="F79" s="19">
        <f>Table3[[#This Row],[Late rate]]-16%</f>
        <v>3.9999999999999952E-2</v>
      </c>
    </row>
    <row r="80" spans="1:31" x14ac:dyDescent="0.35">
      <c r="A80" s="9" t="s">
        <v>13</v>
      </c>
      <c r="B80" s="9" t="s">
        <v>18</v>
      </c>
      <c r="C80" s="9">
        <v>16</v>
      </c>
      <c r="D80" s="13">
        <v>0.8125</v>
      </c>
      <c r="E80" s="13">
        <v>0.1875</v>
      </c>
      <c r="F80" s="19">
        <f>Table3[[#This Row],[Late rate]]-16%</f>
        <v>2.7499999999999997E-2</v>
      </c>
    </row>
    <row r="81" spans="1:32" x14ac:dyDescent="0.35">
      <c r="A81" s="9" t="s">
        <v>9</v>
      </c>
      <c r="B81" s="9" t="s">
        <v>17</v>
      </c>
      <c r="C81" s="9">
        <v>16</v>
      </c>
      <c r="D81" s="13">
        <v>0.8125</v>
      </c>
      <c r="E81" s="13">
        <v>0.1875</v>
      </c>
      <c r="F81" s="19">
        <f>Table3[[#This Row],[Late rate]]-16%</f>
        <v>2.7499999999999997E-2</v>
      </c>
    </row>
    <row r="82" spans="1:32" x14ac:dyDescent="0.35">
      <c r="A82" s="9" t="s">
        <v>22</v>
      </c>
      <c r="B82" s="9" t="s">
        <v>21</v>
      </c>
      <c r="C82" s="9">
        <v>11</v>
      </c>
      <c r="D82" s="13">
        <v>0.81818181818181823</v>
      </c>
      <c r="E82" s="13">
        <v>0.18181818181818177</v>
      </c>
      <c r="F82" s="19">
        <f>Table3[[#This Row],[Late rate]]-16%</f>
        <v>2.1818181818181764E-2</v>
      </c>
    </row>
    <row r="83" spans="1:32" x14ac:dyDescent="0.35">
      <c r="A83" s="9" t="s">
        <v>16</v>
      </c>
      <c r="B83" s="9" t="s">
        <v>12</v>
      </c>
      <c r="C83" s="9">
        <v>11</v>
      </c>
      <c r="D83" s="13">
        <v>0.81818181818181823</v>
      </c>
      <c r="E83" s="13">
        <v>0.18181818181818177</v>
      </c>
      <c r="F83" s="19">
        <f>Table3[[#This Row],[Late rate]]-16%</f>
        <v>2.1818181818181764E-2</v>
      </c>
    </row>
    <row r="84" spans="1:32" x14ac:dyDescent="0.35">
      <c r="A84" s="9" t="s">
        <v>16</v>
      </c>
      <c r="B84" s="9" t="s">
        <v>8</v>
      </c>
      <c r="C84" s="9">
        <v>11</v>
      </c>
      <c r="D84" s="13">
        <v>0.81818181818181823</v>
      </c>
      <c r="E84" s="13">
        <v>0.18181818181818177</v>
      </c>
      <c r="F84" s="19">
        <f>Table3[[#This Row],[Late rate]]-16%</f>
        <v>2.1818181818181764E-2</v>
      </c>
    </row>
    <row r="85" spans="1:32" x14ac:dyDescent="0.35">
      <c r="A85" s="9" t="s">
        <v>12</v>
      </c>
      <c r="B85" s="9" t="s">
        <v>16</v>
      </c>
      <c r="C85" s="9">
        <v>11</v>
      </c>
      <c r="D85" s="13">
        <v>0.81818181818181823</v>
      </c>
      <c r="E85" s="13">
        <v>0.18181818181818177</v>
      </c>
      <c r="F85" s="19">
        <f>Table3[[#This Row],[Late rate]]-16%</f>
        <v>2.1818181818181764E-2</v>
      </c>
    </row>
    <row r="86" spans="1:32" x14ac:dyDescent="0.35">
      <c r="A86" s="9" t="s">
        <v>9</v>
      </c>
      <c r="B86" s="9" t="s">
        <v>13</v>
      </c>
      <c r="C86" s="9">
        <v>11</v>
      </c>
      <c r="D86" s="13">
        <v>0.81818181818181823</v>
      </c>
      <c r="E86" s="13">
        <v>0.18181818181818177</v>
      </c>
      <c r="F86" s="19">
        <f>Table3[[#This Row],[Late rate]]-16%</f>
        <v>2.1818181818181764E-2</v>
      </c>
    </row>
    <row r="87" spans="1:32" x14ac:dyDescent="0.35">
      <c r="A87" s="9" t="s">
        <v>17</v>
      </c>
      <c r="B87" s="9" t="s">
        <v>20</v>
      </c>
      <c r="C87" s="9">
        <v>11</v>
      </c>
      <c r="D87" s="13">
        <v>0.81818181818181823</v>
      </c>
      <c r="E87" s="13">
        <v>0.18181818181818177</v>
      </c>
      <c r="F87" s="19">
        <f>Table3[[#This Row],[Late rate]]-16%</f>
        <v>2.1818181818181764E-2</v>
      </c>
    </row>
    <row r="88" spans="1:32" x14ac:dyDescent="0.35">
      <c r="A88" s="9" t="s">
        <v>21</v>
      </c>
      <c r="B88" s="9" t="s">
        <v>9</v>
      </c>
      <c r="C88" s="9">
        <v>17</v>
      </c>
      <c r="D88" s="13">
        <v>0.82352941176470584</v>
      </c>
      <c r="E88" s="13">
        <v>0.17647058823529416</v>
      </c>
      <c r="F88" s="19">
        <f>Table3[[#This Row],[Late rate]]-16%</f>
        <v>1.6470588235294154E-2</v>
      </c>
    </row>
    <row r="89" spans="1:32" x14ac:dyDescent="0.35">
      <c r="A89" s="9" t="s">
        <v>9</v>
      </c>
      <c r="B89" s="9" t="s">
        <v>12</v>
      </c>
      <c r="C89" s="9">
        <v>17</v>
      </c>
      <c r="D89" s="13">
        <v>0.82352941176470584</v>
      </c>
      <c r="E89" s="13">
        <v>0.17647058823529416</v>
      </c>
      <c r="F89" s="19">
        <f>Table3[[#This Row],[Late rate]]-16%</f>
        <v>1.6470588235294154E-2</v>
      </c>
      <c r="AF89" s="2"/>
    </row>
    <row r="90" spans="1:32" x14ac:dyDescent="0.35">
      <c r="A90" s="9" t="s">
        <v>18</v>
      </c>
      <c r="B90" s="9" t="s">
        <v>16</v>
      </c>
      <c r="C90" s="9">
        <v>17</v>
      </c>
      <c r="D90" s="13">
        <v>0.82352941176470584</v>
      </c>
      <c r="E90" s="13">
        <v>0.17647058823529416</v>
      </c>
      <c r="F90" s="19">
        <f>Table3[[#This Row],[Late rate]]-16%</f>
        <v>1.6470588235294154E-2</v>
      </c>
      <c r="AE90" s="2"/>
    </row>
    <row r="91" spans="1:32" x14ac:dyDescent="0.35">
      <c r="A91" s="9" t="s">
        <v>21</v>
      </c>
      <c r="B91" s="9" t="s">
        <v>8</v>
      </c>
      <c r="C91" s="9">
        <v>6</v>
      </c>
      <c r="D91" s="13">
        <v>0.83333333333333337</v>
      </c>
      <c r="E91" s="13">
        <v>0.16666666666666663</v>
      </c>
      <c r="F91" s="19">
        <f>Table3[[#This Row],[Late rate]]-16%</f>
        <v>6.6666666666666263E-3</v>
      </c>
    </row>
    <row r="92" spans="1:32" x14ac:dyDescent="0.35">
      <c r="A92" s="9" t="s">
        <v>12</v>
      </c>
      <c r="B92" s="9" t="s">
        <v>13</v>
      </c>
      <c r="C92" s="9">
        <v>12</v>
      </c>
      <c r="D92" s="13">
        <v>0.83333333333333337</v>
      </c>
      <c r="E92" s="13">
        <v>0.16666666666666663</v>
      </c>
      <c r="F92" s="19">
        <f>Table3[[#This Row],[Late rate]]-16%</f>
        <v>6.6666666666666263E-3</v>
      </c>
    </row>
    <row r="93" spans="1:32" x14ac:dyDescent="0.35">
      <c r="A93" s="9" t="s">
        <v>13</v>
      </c>
      <c r="B93" s="9" t="s">
        <v>12</v>
      </c>
      <c r="C93" s="9">
        <v>6</v>
      </c>
      <c r="D93" s="13">
        <v>0.83333333333333337</v>
      </c>
      <c r="E93" s="13">
        <v>0.16666666666666663</v>
      </c>
      <c r="F93" s="19">
        <f>Table3[[#This Row],[Late rate]]-16%</f>
        <v>6.6666666666666263E-3</v>
      </c>
    </row>
    <row r="94" spans="1:32" x14ac:dyDescent="0.35">
      <c r="A94" s="9" t="s">
        <v>18</v>
      </c>
      <c r="B94" s="9" t="s">
        <v>20</v>
      </c>
      <c r="C94" s="9">
        <v>12</v>
      </c>
      <c r="D94" s="13">
        <v>0.83333333333333337</v>
      </c>
      <c r="E94" s="13">
        <v>0.16666666666666663</v>
      </c>
      <c r="F94" s="19">
        <f>Table3[[#This Row],[Late rate]]-16%</f>
        <v>6.6666666666666263E-3</v>
      </c>
    </row>
    <row r="95" spans="1:32" x14ac:dyDescent="0.35">
      <c r="A95" s="9" t="s">
        <v>17</v>
      </c>
      <c r="B95" s="9" t="s">
        <v>16</v>
      </c>
      <c r="C95" s="9">
        <v>12</v>
      </c>
      <c r="D95" s="13">
        <v>0.83333333333333337</v>
      </c>
      <c r="E95" s="13">
        <v>0.16666666666666663</v>
      </c>
      <c r="F95" s="19">
        <f>Table3[[#This Row],[Late rate]]-16%</f>
        <v>6.6666666666666263E-3</v>
      </c>
    </row>
    <row r="96" spans="1:32" x14ac:dyDescent="0.35">
      <c r="A96" s="9" t="s">
        <v>17</v>
      </c>
      <c r="B96" s="9" t="s">
        <v>13</v>
      </c>
      <c r="C96" s="9">
        <v>12</v>
      </c>
      <c r="D96" s="13">
        <v>0.83333333333333337</v>
      </c>
      <c r="E96" s="13">
        <v>0.16666666666666663</v>
      </c>
      <c r="F96" s="19">
        <f>Table3[[#This Row],[Late rate]]-16%</f>
        <v>6.6666666666666263E-3</v>
      </c>
    </row>
    <row r="97" spans="1:6" x14ac:dyDescent="0.35">
      <c r="A97" s="9" t="s">
        <v>17</v>
      </c>
      <c r="B97" s="9" t="s">
        <v>9</v>
      </c>
      <c r="C97" s="9">
        <v>12</v>
      </c>
      <c r="D97" s="13">
        <v>0.83333333333333337</v>
      </c>
      <c r="E97" s="13">
        <v>0.16666666666666663</v>
      </c>
      <c r="F97" s="19">
        <f>Table3[[#This Row],[Late rate]]-16%</f>
        <v>6.6666666666666263E-3</v>
      </c>
    </row>
    <row r="98" spans="1:6" x14ac:dyDescent="0.35">
      <c r="A98" s="9" t="s">
        <v>20</v>
      </c>
      <c r="B98" s="9" t="s">
        <v>8</v>
      </c>
      <c r="C98" s="9">
        <v>12</v>
      </c>
      <c r="D98" s="13">
        <v>0.83333333333333337</v>
      </c>
      <c r="E98" s="13">
        <v>0.16666666666666663</v>
      </c>
      <c r="F98" s="19">
        <f>Table3[[#This Row],[Late rate]]-16%</f>
        <v>6.6666666666666263E-3</v>
      </c>
    </row>
    <row r="99" spans="1:6" x14ac:dyDescent="0.35">
      <c r="A99" s="9"/>
      <c r="B99" s="9"/>
      <c r="C99" s="9"/>
      <c r="D99" s="13"/>
      <c r="E99" s="13"/>
      <c r="F99" s="19"/>
    </row>
    <row r="100" spans="1:6" x14ac:dyDescent="0.35">
      <c r="A100" s="9" t="s">
        <v>16</v>
      </c>
      <c r="B100" s="9" t="s">
        <v>18</v>
      </c>
      <c r="C100" s="9">
        <v>13</v>
      </c>
      <c r="D100" s="13">
        <v>0.84615384615384615</v>
      </c>
      <c r="E100" s="13">
        <v>0.15384615384615385</v>
      </c>
      <c r="F100" s="19">
        <f>Table3[[#This Row],[Late rate]]-16%</f>
        <v>-6.1538461538461486E-3</v>
      </c>
    </row>
    <row r="101" spans="1:6" x14ac:dyDescent="0.35">
      <c r="A101" s="9" t="s">
        <v>18</v>
      </c>
      <c r="B101" s="9" t="s">
        <v>22</v>
      </c>
      <c r="C101" s="9">
        <v>13</v>
      </c>
      <c r="D101" s="13">
        <v>0.84615384615384615</v>
      </c>
      <c r="E101" s="13">
        <v>0.15384615384615385</v>
      </c>
      <c r="F101" s="19">
        <f>Table3[[#This Row],[Late rate]]-16%</f>
        <v>-6.1538461538461486E-3</v>
      </c>
    </row>
    <row r="102" spans="1:6" x14ac:dyDescent="0.35">
      <c r="A102" s="9" t="s">
        <v>8</v>
      </c>
      <c r="B102" s="9" t="s">
        <v>17</v>
      </c>
      <c r="C102" s="9">
        <v>13</v>
      </c>
      <c r="D102" s="13">
        <v>0.84615384615384615</v>
      </c>
      <c r="E102" s="13">
        <v>0.15384615384615385</v>
      </c>
      <c r="F102" s="19">
        <f>Table3[[#This Row],[Late rate]]-16%</f>
        <v>-6.1538461538461486E-3</v>
      </c>
    </row>
    <row r="103" spans="1:6" x14ac:dyDescent="0.35">
      <c r="A103" s="9" t="s">
        <v>21</v>
      </c>
      <c r="B103" s="9" t="s">
        <v>22</v>
      </c>
      <c r="C103" s="9">
        <v>7</v>
      </c>
      <c r="D103" s="13">
        <v>0.8571428571428571</v>
      </c>
      <c r="E103" s="13">
        <v>0.1428571428571429</v>
      </c>
      <c r="F103" s="19">
        <f>Table3[[#This Row],[Late rate]]-16%</f>
        <v>-1.7142857142857099E-2</v>
      </c>
    </row>
    <row r="104" spans="1:6" x14ac:dyDescent="0.35">
      <c r="A104" s="9" t="s">
        <v>16</v>
      </c>
      <c r="B104" s="9" t="s">
        <v>9</v>
      </c>
      <c r="C104" s="9">
        <v>14</v>
      </c>
      <c r="D104" s="13">
        <v>0.8571428571428571</v>
      </c>
      <c r="E104" s="13">
        <v>0.1428571428571429</v>
      </c>
      <c r="F104" s="19">
        <f>Table3[[#This Row],[Late rate]]-16%</f>
        <v>-1.7142857142857099E-2</v>
      </c>
    </row>
    <row r="105" spans="1:6" x14ac:dyDescent="0.35">
      <c r="A105" s="9" t="s">
        <v>12</v>
      </c>
      <c r="B105" s="9" t="s">
        <v>22</v>
      </c>
      <c r="C105" s="9">
        <v>15</v>
      </c>
      <c r="D105" s="13">
        <v>0.8666666666666667</v>
      </c>
      <c r="E105" s="13">
        <v>0.1333333333333333</v>
      </c>
      <c r="F105" s="19">
        <f>Table3[[#This Row],[Late rate]]-16%</f>
        <v>-2.66666666666667E-2</v>
      </c>
    </row>
    <row r="106" spans="1:6" x14ac:dyDescent="0.35">
      <c r="A106" s="9" t="s">
        <v>12</v>
      </c>
      <c r="B106" s="9" t="s">
        <v>9</v>
      </c>
      <c r="C106" s="9">
        <v>8</v>
      </c>
      <c r="D106" s="13">
        <v>0.875</v>
      </c>
      <c r="E106" s="13">
        <v>0.125</v>
      </c>
      <c r="F106" s="19">
        <f>Table3[[#This Row],[Late rate]]-16%</f>
        <v>-3.5000000000000003E-2</v>
      </c>
    </row>
    <row r="107" spans="1:6" x14ac:dyDescent="0.35">
      <c r="A107" s="9" t="s">
        <v>9</v>
      </c>
      <c r="B107" s="9" t="s">
        <v>22</v>
      </c>
      <c r="C107" s="9">
        <v>17</v>
      </c>
      <c r="D107" s="13">
        <v>0.88235294117647056</v>
      </c>
      <c r="E107" s="13">
        <v>0.11764705882352944</v>
      </c>
      <c r="F107" s="19">
        <f>Table3[[#This Row],[Late rate]]-16%</f>
        <v>-4.2352941176470565E-2</v>
      </c>
    </row>
    <row r="108" spans="1:6" x14ac:dyDescent="0.35">
      <c r="A108" s="9" t="s">
        <v>22</v>
      </c>
      <c r="B108" s="9" t="s">
        <v>8</v>
      </c>
      <c r="C108" s="9">
        <v>9</v>
      </c>
      <c r="D108" s="13">
        <v>0.88888888888888884</v>
      </c>
      <c r="E108" s="13">
        <v>0.11111111111111116</v>
      </c>
      <c r="F108" s="19">
        <f>Table3[[#This Row],[Late rate]]-16%</f>
        <v>-4.8888888888888843E-2</v>
      </c>
    </row>
    <row r="109" spans="1:6" x14ac:dyDescent="0.35">
      <c r="A109" s="9" t="s">
        <v>16</v>
      </c>
      <c r="B109" s="9" t="s">
        <v>21</v>
      </c>
      <c r="C109" s="9">
        <v>9</v>
      </c>
      <c r="D109" s="13">
        <v>0.88888888888888884</v>
      </c>
      <c r="E109" s="13">
        <v>0.11111111111111116</v>
      </c>
      <c r="F109" s="19">
        <f>Table3[[#This Row],[Late rate]]-16%</f>
        <v>-4.8888888888888843E-2</v>
      </c>
    </row>
    <row r="110" spans="1:6" x14ac:dyDescent="0.35">
      <c r="A110" s="9" t="s">
        <v>13</v>
      </c>
      <c r="B110" s="9" t="s">
        <v>21</v>
      </c>
      <c r="C110" s="9">
        <v>9</v>
      </c>
      <c r="D110" s="13">
        <v>0.88888888888888884</v>
      </c>
      <c r="E110" s="13">
        <v>0.11111111111111116</v>
      </c>
      <c r="F110" s="19">
        <f>Table3[[#This Row],[Late rate]]-16%</f>
        <v>-4.8888888888888843E-2</v>
      </c>
    </row>
    <row r="111" spans="1:6" x14ac:dyDescent="0.35">
      <c r="A111" s="9" t="s">
        <v>18</v>
      </c>
      <c r="B111" s="9" t="s">
        <v>17</v>
      </c>
      <c r="C111" s="9">
        <v>9</v>
      </c>
      <c r="D111" s="13">
        <v>0.88888888888888884</v>
      </c>
      <c r="E111" s="13">
        <v>0.11111111111111116</v>
      </c>
      <c r="F111" s="19">
        <f>Table3[[#This Row],[Late rate]]-16%</f>
        <v>-4.8888888888888843E-2</v>
      </c>
    </row>
    <row r="112" spans="1:6" x14ac:dyDescent="0.35">
      <c r="A112" s="9" t="s">
        <v>12</v>
      </c>
      <c r="B112" s="9" t="s">
        <v>17</v>
      </c>
      <c r="C112" s="9">
        <v>10</v>
      </c>
      <c r="D112" s="13">
        <v>0.9</v>
      </c>
      <c r="E112" s="13">
        <v>9.9999999999999978E-2</v>
      </c>
      <c r="F112" s="19">
        <f>Table3[[#This Row],[Late rate]]-16%</f>
        <v>-6.0000000000000026E-2</v>
      </c>
    </row>
    <row r="113" spans="1:6" x14ac:dyDescent="0.35">
      <c r="A113" s="9" t="s">
        <v>12</v>
      </c>
      <c r="B113" s="9" t="s">
        <v>20</v>
      </c>
      <c r="C113" s="9">
        <v>10</v>
      </c>
      <c r="D113" s="13">
        <v>0.9</v>
      </c>
      <c r="E113" s="13">
        <v>9.9999999999999978E-2</v>
      </c>
      <c r="F113" s="19">
        <f>Table3[[#This Row],[Late rate]]-16%</f>
        <v>-6.0000000000000026E-2</v>
      </c>
    </row>
    <row r="114" spans="1:6" x14ac:dyDescent="0.35">
      <c r="A114" s="9" t="s">
        <v>13</v>
      </c>
      <c r="B114" s="9" t="s">
        <v>9</v>
      </c>
      <c r="C114" s="9">
        <v>10</v>
      </c>
      <c r="D114" s="13">
        <v>0.9</v>
      </c>
      <c r="E114" s="13">
        <v>9.9999999999999978E-2</v>
      </c>
      <c r="F114" s="19">
        <f>Table3[[#This Row],[Late rate]]-16%</f>
        <v>-6.0000000000000026E-2</v>
      </c>
    </row>
    <row r="115" spans="1:6" x14ac:dyDescent="0.35">
      <c r="A115" s="9" t="s">
        <v>20</v>
      </c>
      <c r="B115" s="9" t="s">
        <v>16</v>
      </c>
      <c r="C115" s="9">
        <v>10</v>
      </c>
      <c r="D115" s="13">
        <v>0.9</v>
      </c>
      <c r="E115" s="13">
        <v>9.9999999999999978E-2</v>
      </c>
      <c r="F115" s="19">
        <f>Table3[[#This Row],[Late rate]]-16%</f>
        <v>-6.0000000000000026E-2</v>
      </c>
    </row>
    <row r="116" spans="1:6" x14ac:dyDescent="0.35">
      <c r="A116" s="9" t="s">
        <v>12</v>
      </c>
      <c r="B116" s="9" t="s">
        <v>8</v>
      </c>
      <c r="C116" s="9">
        <v>11</v>
      </c>
      <c r="D116" s="13">
        <v>0.90909090909090906</v>
      </c>
      <c r="E116" s="13">
        <v>9.0909090909090939E-2</v>
      </c>
      <c r="F116" s="19">
        <f>Table3[[#This Row],[Late rate]]-16%</f>
        <v>-6.9090909090909064E-2</v>
      </c>
    </row>
    <row r="117" spans="1:6" x14ac:dyDescent="0.35">
      <c r="A117" s="9" t="s">
        <v>13</v>
      </c>
      <c r="B117" s="9" t="s">
        <v>8</v>
      </c>
      <c r="C117" s="9">
        <v>11</v>
      </c>
      <c r="D117" s="13">
        <v>0.90909090909090906</v>
      </c>
      <c r="E117" s="13">
        <v>9.0909090909090939E-2</v>
      </c>
      <c r="F117" s="19">
        <f>Table3[[#This Row],[Late rate]]-16%</f>
        <v>-6.9090909090909064E-2</v>
      </c>
    </row>
    <row r="118" spans="1:6" x14ac:dyDescent="0.35">
      <c r="A118" s="9" t="s">
        <v>20</v>
      </c>
      <c r="B118" s="9" t="s">
        <v>17</v>
      </c>
      <c r="C118" s="9">
        <v>11</v>
      </c>
      <c r="D118" s="13">
        <v>0.90909090909090906</v>
      </c>
      <c r="E118" s="13">
        <v>9.0909090909090939E-2</v>
      </c>
      <c r="F118" s="19">
        <f>Table3[[#This Row],[Late rate]]-16%</f>
        <v>-6.9090909090909064E-2</v>
      </c>
    </row>
    <row r="119" spans="1:6" x14ac:dyDescent="0.35">
      <c r="A119" s="9" t="s">
        <v>9</v>
      </c>
      <c r="B119" s="9" t="s">
        <v>18</v>
      </c>
      <c r="C119" s="9">
        <v>13</v>
      </c>
      <c r="D119" s="13">
        <v>0.92307692307692313</v>
      </c>
      <c r="E119" s="13">
        <v>7.6923076923076872E-2</v>
      </c>
      <c r="F119" s="19">
        <f>Table3[[#This Row],[Late rate]]-16%</f>
        <v>-8.3076923076923131E-2</v>
      </c>
    </row>
    <row r="120" spans="1:6" x14ac:dyDescent="0.35">
      <c r="A120" s="9" t="s">
        <v>18</v>
      </c>
      <c r="B120" s="9" t="s">
        <v>21</v>
      </c>
      <c r="C120" s="9">
        <v>14</v>
      </c>
      <c r="D120" s="13">
        <v>0.9285714285714286</v>
      </c>
      <c r="E120" s="13">
        <v>7.1428571428571397E-2</v>
      </c>
      <c r="F120" s="19">
        <f>Table3[[#This Row],[Late rate]]-16%</f>
        <v>-8.8571428571428606E-2</v>
      </c>
    </row>
    <row r="121" spans="1:6" x14ac:dyDescent="0.35">
      <c r="A121" s="9" t="s">
        <v>16</v>
      </c>
      <c r="B121" s="9" t="s">
        <v>17</v>
      </c>
      <c r="C121" s="9">
        <v>15</v>
      </c>
      <c r="D121" s="13">
        <v>0.93333333333333335</v>
      </c>
      <c r="E121" s="13">
        <v>6.6666666666666652E-2</v>
      </c>
      <c r="F121" s="19">
        <f>Table3[[#This Row],[Late rate]]-16%</f>
        <v>-9.3333333333333351E-2</v>
      </c>
    </row>
    <row r="122" spans="1:6" x14ac:dyDescent="0.35">
      <c r="A122" s="9" t="s">
        <v>18</v>
      </c>
      <c r="B122" s="9" t="s">
        <v>9</v>
      </c>
      <c r="C122" s="9">
        <v>15</v>
      </c>
      <c r="D122" s="13">
        <v>0.93333333333333335</v>
      </c>
      <c r="E122" s="13">
        <v>6.6666666666666652E-2</v>
      </c>
      <c r="F122" s="19">
        <f>Table3[[#This Row],[Late rate]]-16%</f>
        <v>-9.3333333333333351E-2</v>
      </c>
    </row>
    <row r="123" spans="1:6" x14ac:dyDescent="0.35">
      <c r="A123" s="9" t="s">
        <v>20</v>
      </c>
      <c r="B123" s="9" t="s">
        <v>22</v>
      </c>
      <c r="C123" s="9">
        <v>15</v>
      </c>
      <c r="D123" s="13">
        <v>0.93333333333333335</v>
      </c>
      <c r="E123" s="13">
        <v>6.6666666666666652E-2</v>
      </c>
      <c r="F123" s="19">
        <f>Table3[[#This Row],[Late rate]]-16%</f>
        <v>-9.3333333333333351E-2</v>
      </c>
    </row>
    <row r="124" spans="1:6" x14ac:dyDescent="0.35">
      <c r="A124" s="9" t="s">
        <v>9</v>
      </c>
      <c r="B124" s="9" t="s">
        <v>21</v>
      </c>
      <c r="C124" s="9">
        <v>16</v>
      </c>
      <c r="D124" s="13">
        <v>0.9375</v>
      </c>
      <c r="E124" s="13">
        <v>6.25E-2</v>
      </c>
      <c r="F124" s="19">
        <f>Table3[[#This Row],[Late rate]]-16%</f>
        <v>-9.7500000000000003E-2</v>
      </c>
    </row>
    <row r="125" spans="1:6" x14ac:dyDescent="0.35">
      <c r="A125" s="9" t="s">
        <v>21</v>
      </c>
      <c r="B125" s="9" t="s">
        <v>17</v>
      </c>
      <c r="C125" s="9">
        <v>10</v>
      </c>
      <c r="D125" s="13">
        <v>1</v>
      </c>
      <c r="E125" s="13">
        <v>0</v>
      </c>
      <c r="F125" s="19">
        <f>Table3[[#This Row],[Late rate]]-16%</f>
        <v>-0.16</v>
      </c>
    </row>
    <row r="126" spans="1:6" x14ac:dyDescent="0.35">
      <c r="A126" s="9" t="s">
        <v>22</v>
      </c>
      <c r="B126" s="9" t="s">
        <v>16</v>
      </c>
      <c r="C126" s="9">
        <v>9</v>
      </c>
      <c r="D126" s="13">
        <v>1</v>
      </c>
      <c r="E126" s="13">
        <v>0</v>
      </c>
      <c r="F126" s="19">
        <f>Table3[[#This Row],[Late rate]]-16%</f>
        <v>-0.16</v>
      </c>
    </row>
    <row r="127" spans="1:6" x14ac:dyDescent="0.35">
      <c r="A127" s="9" t="s">
        <v>16</v>
      </c>
      <c r="B127" s="9" t="s">
        <v>20</v>
      </c>
      <c r="C127" s="9">
        <v>17</v>
      </c>
      <c r="D127" s="13">
        <v>1</v>
      </c>
      <c r="E127" s="13">
        <v>0</v>
      </c>
      <c r="F127" s="19">
        <f>Table3[[#This Row],[Late rate]]-16%</f>
        <v>-0.16</v>
      </c>
    </row>
    <row r="128" spans="1:6" x14ac:dyDescent="0.35">
      <c r="A128" s="9" t="s">
        <v>12</v>
      </c>
      <c r="B128" s="9" t="s">
        <v>21</v>
      </c>
      <c r="C128" s="9">
        <v>8</v>
      </c>
      <c r="D128" s="13">
        <v>1</v>
      </c>
      <c r="E128" s="13">
        <v>0</v>
      </c>
      <c r="F128" s="19">
        <f>Table3[[#This Row],[Late rate]]-16%</f>
        <v>-0.16</v>
      </c>
    </row>
    <row r="129" spans="1:6" x14ac:dyDescent="0.35">
      <c r="A129" s="9" t="s">
        <v>9</v>
      </c>
      <c r="B129" s="9" t="s">
        <v>16</v>
      </c>
      <c r="C129" s="9">
        <v>9</v>
      </c>
      <c r="D129" s="13">
        <v>1</v>
      </c>
      <c r="E129" s="13">
        <v>0</v>
      </c>
      <c r="F129" s="19">
        <f>Table3[[#This Row],[Late rate]]-16%</f>
        <v>-0.16</v>
      </c>
    </row>
    <row r="130" spans="1:6" x14ac:dyDescent="0.35">
      <c r="A130" s="9" t="s">
        <v>9</v>
      </c>
      <c r="B130" s="9" t="s">
        <v>8</v>
      </c>
      <c r="C130" s="9">
        <v>10</v>
      </c>
      <c r="D130" s="13">
        <v>1</v>
      </c>
      <c r="E130" s="13">
        <v>0</v>
      </c>
      <c r="F130" s="19">
        <f>Table3[[#This Row],[Late rate]]-16%</f>
        <v>-0.16</v>
      </c>
    </row>
    <row r="131" spans="1:6" x14ac:dyDescent="0.35">
      <c r="A131" s="9" t="s">
        <v>18</v>
      </c>
      <c r="B131" s="9" t="s">
        <v>12</v>
      </c>
      <c r="C131" s="9">
        <v>9</v>
      </c>
      <c r="D131" s="13">
        <v>1</v>
      </c>
      <c r="E131" s="13">
        <v>0</v>
      </c>
      <c r="F131" s="19">
        <f>Table3[[#This Row],[Late rate]]-16%</f>
        <v>-0.16</v>
      </c>
    </row>
    <row r="132" spans="1:6" x14ac:dyDescent="0.35">
      <c r="A132" s="9" t="s">
        <v>18</v>
      </c>
      <c r="B132" s="9" t="s">
        <v>13</v>
      </c>
      <c r="C132" s="9">
        <v>13</v>
      </c>
      <c r="D132" s="13">
        <v>1</v>
      </c>
      <c r="E132" s="13">
        <v>0</v>
      </c>
      <c r="F132" s="19">
        <f>Table3[[#This Row],[Late rate]]-16%</f>
        <v>-0.16</v>
      </c>
    </row>
    <row r="133" spans="1:6" x14ac:dyDescent="0.35">
      <c r="A133" s="9" t="s">
        <v>18</v>
      </c>
      <c r="B133" s="9" t="s">
        <v>8</v>
      </c>
      <c r="C133" s="9">
        <v>8</v>
      </c>
      <c r="D133" s="13">
        <v>1</v>
      </c>
      <c r="E133" s="13">
        <v>0</v>
      </c>
      <c r="F133" s="19">
        <f>Table3[[#This Row],[Late rate]]-16%</f>
        <v>-0.16</v>
      </c>
    </row>
    <row r="134" spans="1:6" x14ac:dyDescent="0.35">
      <c r="A134" s="9" t="s">
        <v>17</v>
      </c>
      <c r="B134" s="9" t="s">
        <v>8</v>
      </c>
      <c r="C134" s="9">
        <v>10</v>
      </c>
      <c r="D134" s="13">
        <v>1</v>
      </c>
      <c r="E134" s="13">
        <v>0</v>
      </c>
      <c r="F134" s="19">
        <f>Table3[[#This Row],[Late rate]]-16%</f>
        <v>-0.16</v>
      </c>
    </row>
    <row r="135" spans="1:6" x14ac:dyDescent="0.35">
      <c r="A135" s="9" t="s">
        <v>8</v>
      </c>
      <c r="B135" s="9" t="s">
        <v>21</v>
      </c>
      <c r="C135" s="9">
        <v>11</v>
      </c>
      <c r="D135" s="13">
        <v>1</v>
      </c>
      <c r="E135" s="13">
        <v>0</v>
      </c>
      <c r="F135" s="19">
        <f>Table3[[#This Row],[Late rate]]-16%</f>
        <v>-0.16</v>
      </c>
    </row>
    <row r="136" spans="1:6" x14ac:dyDescent="0.35">
      <c r="A136" s="9" t="s">
        <v>8</v>
      </c>
      <c r="B136" s="9" t="s">
        <v>12</v>
      </c>
      <c r="C136" s="9">
        <v>4</v>
      </c>
      <c r="D136" s="13">
        <v>1</v>
      </c>
      <c r="E136" s="13">
        <v>0</v>
      </c>
      <c r="F136" s="19">
        <f>Table3[[#This Row],[Late rate]]-16%</f>
        <v>-0.16</v>
      </c>
    </row>
    <row r="137" spans="1:6" x14ac:dyDescent="0.35">
      <c r="A137" s="9" t="s">
        <v>8</v>
      </c>
      <c r="B137" s="9" t="s">
        <v>18</v>
      </c>
      <c r="C137" s="9">
        <v>8</v>
      </c>
      <c r="D137" s="13">
        <v>1</v>
      </c>
      <c r="E137" s="13">
        <v>0</v>
      </c>
      <c r="F137" s="19">
        <f>Table3[[#This Row],[Late rate]]-16%</f>
        <v>-0.16</v>
      </c>
    </row>
    <row r="138" spans="1:6" x14ac:dyDescent="0.35">
      <c r="A138" s="9" t="s">
        <v>8</v>
      </c>
      <c r="B138" s="9" t="s">
        <v>20</v>
      </c>
      <c r="C138" s="9">
        <v>10</v>
      </c>
      <c r="D138" s="13">
        <v>1</v>
      </c>
      <c r="E138" s="13">
        <v>0</v>
      </c>
      <c r="F138" s="19">
        <f>Table3[[#This Row],[Late rate]]-16%</f>
        <v>-0.16</v>
      </c>
    </row>
    <row r="139" spans="1:6" x14ac:dyDescent="0.35">
      <c r="A139" s="9" t="s">
        <v>20</v>
      </c>
      <c r="B139" s="9" t="s">
        <v>9</v>
      </c>
      <c r="C139" s="9">
        <v>10</v>
      </c>
      <c r="D139" s="13">
        <v>1</v>
      </c>
      <c r="E139" s="13">
        <v>0</v>
      </c>
      <c r="F139" s="19">
        <f>Table3[[#This Row],[Late rate]]-16%</f>
        <v>-0.16</v>
      </c>
    </row>
    <row r="140" spans="1:6" x14ac:dyDescent="0.35">
      <c r="A140" s="9" t="s">
        <v>20</v>
      </c>
      <c r="B140" s="9" t="s">
        <v>18</v>
      </c>
      <c r="C140" s="9">
        <v>5</v>
      </c>
      <c r="D140" s="13">
        <v>1</v>
      </c>
      <c r="E140" s="13">
        <v>0</v>
      </c>
      <c r="F140" s="19">
        <f>Table3[[#This Row],[Late rate]]-16%</f>
        <v>-0.16</v>
      </c>
    </row>
    <row r="143" spans="1:6" ht="21" x14ac:dyDescent="0.5">
      <c r="A143" s="22" t="s">
        <v>70</v>
      </c>
    </row>
    <row r="144" spans="1:6" x14ac:dyDescent="0.35">
      <c r="A144" s="3" t="s">
        <v>1</v>
      </c>
      <c r="B144" s="3" t="s">
        <v>2</v>
      </c>
      <c r="C144" t="s">
        <v>23</v>
      </c>
      <c r="D144" t="s">
        <v>37</v>
      </c>
      <c r="E144" s="8" t="s">
        <v>38</v>
      </c>
    </row>
    <row r="145" spans="1:14" x14ac:dyDescent="0.35">
      <c r="A145" t="s">
        <v>21</v>
      </c>
      <c r="B145" t="s">
        <v>16</v>
      </c>
      <c r="C145">
        <v>8</v>
      </c>
      <c r="D145" s="5">
        <v>0.75</v>
      </c>
      <c r="E145" s="6">
        <f t="shared" ref="E145:E176" si="3">1-$D145</f>
        <v>0.25</v>
      </c>
    </row>
    <row r="146" spans="1:14" x14ac:dyDescent="0.35">
      <c r="B146" t="s">
        <v>22</v>
      </c>
      <c r="C146">
        <v>7</v>
      </c>
      <c r="D146" s="5">
        <v>0.8571428571428571</v>
      </c>
      <c r="E146" s="6">
        <f t="shared" si="3"/>
        <v>0.1428571428571429</v>
      </c>
    </row>
    <row r="147" spans="1:14" x14ac:dyDescent="0.35">
      <c r="B147" t="s">
        <v>12</v>
      </c>
      <c r="C147">
        <v>12</v>
      </c>
      <c r="D147" s="5">
        <v>0.66666666666666663</v>
      </c>
      <c r="E147" s="6">
        <f t="shared" si="3"/>
        <v>0.33333333333333337</v>
      </c>
    </row>
    <row r="148" spans="1:14" x14ac:dyDescent="0.35">
      <c r="B148" t="s">
        <v>13</v>
      </c>
      <c r="C148">
        <v>13</v>
      </c>
      <c r="D148" s="5">
        <v>0.76923076923076927</v>
      </c>
      <c r="E148" s="6">
        <f t="shared" si="3"/>
        <v>0.23076923076923073</v>
      </c>
    </row>
    <row r="149" spans="1:14" x14ac:dyDescent="0.35">
      <c r="B149" t="s">
        <v>9</v>
      </c>
      <c r="C149">
        <v>17</v>
      </c>
      <c r="D149" s="5">
        <v>0.82352941176470584</v>
      </c>
      <c r="E149" s="6">
        <f t="shared" si="3"/>
        <v>0.17647058823529416</v>
      </c>
    </row>
    <row r="150" spans="1:14" x14ac:dyDescent="0.35">
      <c r="B150" t="s">
        <v>18</v>
      </c>
      <c r="C150">
        <v>10</v>
      </c>
      <c r="D150" s="5">
        <v>0.5</v>
      </c>
      <c r="E150" s="6">
        <f t="shared" si="3"/>
        <v>0.5</v>
      </c>
    </row>
    <row r="151" spans="1:14" x14ac:dyDescent="0.35">
      <c r="B151" t="s">
        <v>17</v>
      </c>
      <c r="C151">
        <v>10</v>
      </c>
      <c r="D151" s="5">
        <v>1</v>
      </c>
      <c r="E151" s="6">
        <f t="shared" si="3"/>
        <v>0</v>
      </c>
    </row>
    <row r="152" spans="1:14" x14ac:dyDescent="0.35">
      <c r="B152" t="s">
        <v>8</v>
      </c>
      <c r="C152">
        <v>6</v>
      </c>
      <c r="D152" s="5">
        <v>0.83333333333333337</v>
      </c>
      <c r="E152" s="6">
        <f t="shared" si="3"/>
        <v>0.16666666666666663</v>
      </c>
    </row>
    <row r="153" spans="1:14" x14ac:dyDescent="0.35">
      <c r="B153" t="s">
        <v>20</v>
      </c>
      <c r="C153">
        <v>13</v>
      </c>
      <c r="D153" s="5">
        <v>0.69230769230769229</v>
      </c>
      <c r="E153" s="6">
        <f t="shared" si="3"/>
        <v>0.30769230769230771</v>
      </c>
    </row>
    <row r="154" spans="1:14" x14ac:dyDescent="0.35">
      <c r="A154" t="s">
        <v>22</v>
      </c>
      <c r="B154" t="s">
        <v>21</v>
      </c>
      <c r="C154">
        <v>11</v>
      </c>
      <c r="D154" s="5">
        <v>0.81818181818181823</v>
      </c>
      <c r="E154" s="6">
        <f t="shared" si="3"/>
        <v>0.18181818181818177</v>
      </c>
    </row>
    <row r="155" spans="1:14" x14ac:dyDescent="0.35">
      <c r="B155" t="s">
        <v>16</v>
      </c>
      <c r="C155">
        <v>9</v>
      </c>
      <c r="D155" s="5">
        <v>1</v>
      </c>
      <c r="E155" s="6">
        <f t="shared" si="3"/>
        <v>0</v>
      </c>
    </row>
    <row r="156" spans="1:14" x14ac:dyDescent="0.35">
      <c r="B156" t="s">
        <v>12</v>
      </c>
      <c r="C156">
        <v>8</v>
      </c>
      <c r="D156" s="5">
        <v>0.75</v>
      </c>
      <c r="E156" s="6">
        <f t="shared" si="3"/>
        <v>0.25</v>
      </c>
    </row>
    <row r="157" spans="1:14" x14ac:dyDescent="0.35">
      <c r="B157" t="s">
        <v>13</v>
      </c>
      <c r="C157">
        <v>10</v>
      </c>
      <c r="D157" s="5">
        <v>0.8</v>
      </c>
      <c r="E157" s="6">
        <f t="shared" si="3"/>
        <v>0.19999999999999996</v>
      </c>
    </row>
    <row r="158" spans="1:14" x14ac:dyDescent="0.35">
      <c r="B158" t="s">
        <v>9</v>
      </c>
      <c r="C158">
        <v>9</v>
      </c>
      <c r="D158" s="5">
        <v>0.77777777777777779</v>
      </c>
      <c r="E158" s="6">
        <f t="shared" si="3"/>
        <v>0.22222222222222221</v>
      </c>
      <c r="N158" s="6"/>
    </row>
    <row r="159" spans="1:14" x14ac:dyDescent="0.35">
      <c r="B159" t="s">
        <v>18</v>
      </c>
      <c r="C159">
        <v>9</v>
      </c>
      <c r="D159" s="5">
        <v>0.77777777777777779</v>
      </c>
      <c r="E159" s="6">
        <f t="shared" si="3"/>
        <v>0.22222222222222221</v>
      </c>
      <c r="N159" s="6"/>
    </row>
    <row r="160" spans="1:14" x14ac:dyDescent="0.35">
      <c r="B160" t="s">
        <v>17</v>
      </c>
      <c r="C160">
        <v>9</v>
      </c>
      <c r="D160" s="5">
        <v>0.77777777777777779</v>
      </c>
      <c r="E160" s="6">
        <f t="shared" si="3"/>
        <v>0.22222222222222221</v>
      </c>
      <c r="N160" s="6"/>
    </row>
    <row r="161" spans="1:5" x14ac:dyDescent="0.35">
      <c r="B161" t="s">
        <v>8</v>
      </c>
      <c r="C161">
        <v>9</v>
      </c>
      <c r="D161" s="5">
        <v>0.88888888888888884</v>
      </c>
      <c r="E161" s="6">
        <f t="shared" si="3"/>
        <v>0.11111111111111116</v>
      </c>
    </row>
    <row r="162" spans="1:5" x14ac:dyDescent="0.35">
      <c r="B162" t="s">
        <v>20</v>
      </c>
      <c r="C162">
        <v>9</v>
      </c>
      <c r="D162" s="5">
        <v>0.77777777777777779</v>
      </c>
      <c r="E162" s="6">
        <f t="shared" si="3"/>
        <v>0.22222222222222221</v>
      </c>
    </row>
    <row r="163" spans="1:5" x14ac:dyDescent="0.35">
      <c r="A163" t="s">
        <v>16</v>
      </c>
      <c r="B163" t="s">
        <v>21</v>
      </c>
      <c r="C163">
        <v>9</v>
      </c>
      <c r="D163" s="5">
        <v>0.88888888888888884</v>
      </c>
      <c r="E163" s="6">
        <f t="shared" si="3"/>
        <v>0.11111111111111116</v>
      </c>
    </row>
    <row r="164" spans="1:5" x14ac:dyDescent="0.35">
      <c r="B164" t="s">
        <v>22</v>
      </c>
      <c r="C164">
        <v>7</v>
      </c>
      <c r="D164" s="5">
        <v>0.7142857142857143</v>
      </c>
      <c r="E164" s="6">
        <f t="shared" si="3"/>
        <v>0.2857142857142857</v>
      </c>
    </row>
    <row r="165" spans="1:5" x14ac:dyDescent="0.35">
      <c r="B165" t="s">
        <v>12</v>
      </c>
      <c r="C165">
        <v>11</v>
      </c>
      <c r="D165" s="5">
        <v>0.81818181818181823</v>
      </c>
      <c r="E165" s="6">
        <f t="shared" si="3"/>
        <v>0.18181818181818177</v>
      </c>
    </row>
    <row r="166" spans="1:5" x14ac:dyDescent="0.35">
      <c r="B166" t="s">
        <v>13</v>
      </c>
      <c r="C166">
        <v>10</v>
      </c>
      <c r="D166" s="5">
        <v>0.8</v>
      </c>
      <c r="E166" s="6">
        <f t="shared" si="3"/>
        <v>0.19999999999999996</v>
      </c>
    </row>
    <row r="167" spans="1:5" x14ac:dyDescent="0.35">
      <c r="B167" t="s">
        <v>9</v>
      </c>
      <c r="C167">
        <v>14</v>
      </c>
      <c r="D167" s="5">
        <v>0.8571428571428571</v>
      </c>
      <c r="E167" s="6">
        <f t="shared" si="3"/>
        <v>0.1428571428571429</v>
      </c>
    </row>
    <row r="168" spans="1:5" x14ac:dyDescent="0.35">
      <c r="B168" t="s">
        <v>18</v>
      </c>
      <c r="C168">
        <v>13</v>
      </c>
      <c r="D168" s="5">
        <v>0.84615384615384615</v>
      </c>
      <c r="E168" s="6">
        <f t="shared" si="3"/>
        <v>0.15384615384615385</v>
      </c>
    </row>
    <row r="169" spans="1:5" x14ac:dyDescent="0.35">
      <c r="B169" t="s">
        <v>17</v>
      </c>
      <c r="C169">
        <v>15</v>
      </c>
      <c r="D169" s="5">
        <v>0.93333333333333335</v>
      </c>
      <c r="E169" s="6">
        <f t="shared" si="3"/>
        <v>6.6666666666666652E-2</v>
      </c>
    </row>
    <row r="170" spans="1:5" x14ac:dyDescent="0.35">
      <c r="B170" t="s">
        <v>8</v>
      </c>
      <c r="C170">
        <v>11</v>
      </c>
      <c r="D170" s="5">
        <v>0.81818181818181823</v>
      </c>
      <c r="E170" s="6">
        <f t="shared" si="3"/>
        <v>0.18181818181818177</v>
      </c>
    </row>
    <row r="171" spans="1:5" x14ac:dyDescent="0.35">
      <c r="B171" t="s">
        <v>20</v>
      </c>
      <c r="C171">
        <v>17</v>
      </c>
      <c r="D171" s="5">
        <v>1</v>
      </c>
      <c r="E171" s="6">
        <f t="shared" si="3"/>
        <v>0</v>
      </c>
    </row>
    <row r="172" spans="1:5" x14ac:dyDescent="0.35">
      <c r="A172" t="s">
        <v>12</v>
      </c>
      <c r="B172" t="s">
        <v>21</v>
      </c>
      <c r="C172">
        <v>8</v>
      </c>
      <c r="D172" s="5">
        <v>1</v>
      </c>
      <c r="E172" s="6">
        <f t="shared" si="3"/>
        <v>0</v>
      </c>
    </row>
    <row r="173" spans="1:5" x14ac:dyDescent="0.35">
      <c r="B173" t="s">
        <v>16</v>
      </c>
      <c r="C173">
        <v>11</v>
      </c>
      <c r="D173" s="5">
        <v>0.81818181818181823</v>
      </c>
      <c r="E173" s="6">
        <f t="shared" si="3"/>
        <v>0.18181818181818177</v>
      </c>
    </row>
    <row r="174" spans="1:5" x14ac:dyDescent="0.35">
      <c r="B174" t="s">
        <v>22</v>
      </c>
      <c r="C174">
        <v>15</v>
      </c>
      <c r="D174" s="5">
        <v>0.8666666666666667</v>
      </c>
      <c r="E174" s="6">
        <f t="shared" si="3"/>
        <v>0.1333333333333333</v>
      </c>
    </row>
    <row r="175" spans="1:5" x14ac:dyDescent="0.35">
      <c r="B175" t="s">
        <v>13</v>
      </c>
      <c r="C175">
        <v>12</v>
      </c>
      <c r="D175" s="5">
        <v>0.83333333333333337</v>
      </c>
      <c r="E175" s="6">
        <f t="shared" si="3"/>
        <v>0.16666666666666663</v>
      </c>
    </row>
    <row r="176" spans="1:5" x14ac:dyDescent="0.35">
      <c r="B176" t="s">
        <v>9</v>
      </c>
      <c r="C176">
        <v>8</v>
      </c>
      <c r="D176" s="5">
        <v>0.875</v>
      </c>
      <c r="E176" s="6">
        <f t="shared" si="3"/>
        <v>0.125</v>
      </c>
    </row>
    <row r="177" spans="1:5" x14ac:dyDescent="0.35">
      <c r="B177" t="s">
        <v>18</v>
      </c>
      <c r="C177">
        <v>9</v>
      </c>
      <c r="D177" s="5">
        <v>0.55555555555555558</v>
      </c>
      <c r="E177" s="6">
        <f t="shared" ref="E177:E208" si="4">1-$D177</f>
        <v>0.44444444444444442</v>
      </c>
    </row>
    <row r="178" spans="1:5" x14ac:dyDescent="0.35">
      <c r="B178" t="s">
        <v>17</v>
      </c>
      <c r="C178">
        <v>10</v>
      </c>
      <c r="D178" s="5">
        <v>0.9</v>
      </c>
      <c r="E178" s="6">
        <f t="shared" si="4"/>
        <v>9.9999999999999978E-2</v>
      </c>
    </row>
    <row r="179" spans="1:5" x14ac:dyDescent="0.35">
      <c r="B179" t="s">
        <v>8</v>
      </c>
      <c r="C179">
        <v>11</v>
      </c>
      <c r="D179" s="5">
        <v>0.90909090909090906</v>
      </c>
      <c r="E179" s="6">
        <f t="shared" si="4"/>
        <v>9.0909090909090939E-2</v>
      </c>
    </row>
    <row r="180" spans="1:5" x14ac:dyDescent="0.35">
      <c r="B180" t="s">
        <v>20</v>
      </c>
      <c r="C180">
        <v>10</v>
      </c>
      <c r="D180" s="5">
        <v>0.9</v>
      </c>
      <c r="E180" s="6">
        <f t="shared" si="4"/>
        <v>9.9999999999999978E-2</v>
      </c>
    </row>
    <row r="181" spans="1:5" x14ac:dyDescent="0.35">
      <c r="A181" t="s">
        <v>13</v>
      </c>
      <c r="B181" t="s">
        <v>21</v>
      </c>
      <c r="C181">
        <v>9</v>
      </c>
      <c r="D181" s="5">
        <v>0.88888888888888884</v>
      </c>
      <c r="E181" s="6">
        <f t="shared" si="4"/>
        <v>0.11111111111111116</v>
      </c>
    </row>
    <row r="182" spans="1:5" x14ac:dyDescent="0.35">
      <c r="B182" t="s">
        <v>16</v>
      </c>
      <c r="C182">
        <v>10</v>
      </c>
      <c r="D182" s="5">
        <v>0.8</v>
      </c>
      <c r="E182" s="6">
        <f t="shared" si="4"/>
        <v>0.19999999999999996</v>
      </c>
    </row>
    <row r="183" spans="1:5" x14ac:dyDescent="0.35">
      <c r="B183" t="s">
        <v>22</v>
      </c>
      <c r="C183">
        <v>12</v>
      </c>
      <c r="D183" s="5">
        <v>0.75</v>
      </c>
      <c r="E183" s="6">
        <f t="shared" si="4"/>
        <v>0.25</v>
      </c>
    </row>
    <row r="184" spans="1:5" x14ac:dyDescent="0.35">
      <c r="B184" t="s">
        <v>12</v>
      </c>
      <c r="C184">
        <v>6</v>
      </c>
      <c r="D184" s="5">
        <v>0.83333333333333337</v>
      </c>
      <c r="E184" s="6">
        <f t="shared" si="4"/>
        <v>0.16666666666666663</v>
      </c>
    </row>
    <row r="185" spans="1:5" x14ac:dyDescent="0.35">
      <c r="B185" t="s">
        <v>9</v>
      </c>
      <c r="C185">
        <v>10</v>
      </c>
      <c r="D185" s="5">
        <v>0.9</v>
      </c>
      <c r="E185" s="6">
        <f t="shared" si="4"/>
        <v>9.9999999999999978E-2</v>
      </c>
    </row>
    <row r="186" spans="1:5" x14ac:dyDescent="0.35">
      <c r="B186" t="s">
        <v>18</v>
      </c>
      <c r="C186">
        <v>16</v>
      </c>
      <c r="D186" s="5">
        <v>0.8125</v>
      </c>
      <c r="E186" s="6">
        <f t="shared" si="4"/>
        <v>0.1875</v>
      </c>
    </row>
    <row r="187" spans="1:5" x14ac:dyDescent="0.35">
      <c r="B187" t="s">
        <v>17</v>
      </c>
      <c r="C187">
        <v>14</v>
      </c>
      <c r="D187" s="5">
        <v>0.7857142857142857</v>
      </c>
      <c r="E187" s="6">
        <f t="shared" si="4"/>
        <v>0.2142857142857143</v>
      </c>
    </row>
    <row r="188" spans="1:5" x14ac:dyDescent="0.35">
      <c r="B188" t="s">
        <v>8</v>
      </c>
      <c r="C188">
        <v>11</v>
      </c>
      <c r="D188" s="5">
        <v>0.90909090909090906</v>
      </c>
      <c r="E188" s="6">
        <f t="shared" si="4"/>
        <v>9.0909090909090939E-2</v>
      </c>
    </row>
    <row r="189" spans="1:5" x14ac:dyDescent="0.35">
      <c r="B189" t="s">
        <v>20</v>
      </c>
      <c r="C189">
        <v>12</v>
      </c>
      <c r="D189" s="5">
        <v>0.75</v>
      </c>
      <c r="E189" s="6">
        <f t="shared" si="4"/>
        <v>0.25</v>
      </c>
    </row>
    <row r="190" spans="1:5" x14ac:dyDescent="0.35">
      <c r="A190" t="s">
        <v>9</v>
      </c>
      <c r="B190" t="s">
        <v>21</v>
      </c>
      <c r="C190">
        <v>16</v>
      </c>
      <c r="D190" s="5">
        <v>0.9375</v>
      </c>
      <c r="E190" s="6">
        <f t="shared" si="4"/>
        <v>6.25E-2</v>
      </c>
    </row>
    <row r="191" spans="1:5" x14ac:dyDescent="0.35">
      <c r="B191" t="s">
        <v>16</v>
      </c>
      <c r="C191">
        <v>9</v>
      </c>
      <c r="D191" s="5">
        <v>1</v>
      </c>
      <c r="E191" s="6">
        <f t="shared" si="4"/>
        <v>0</v>
      </c>
    </row>
    <row r="192" spans="1:5" x14ac:dyDescent="0.35">
      <c r="B192" t="s">
        <v>22</v>
      </c>
      <c r="C192">
        <v>17</v>
      </c>
      <c r="D192" s="5">
        <v>0.88235294117647056</v>
      </c>
      <c r="E192" s="6">
        <f t="shared" si="4"/>
        <v>0.11764705882352944</v>
      </c>
    </row>
    <row r="193" spans="1:5" x14ac:dyDescent="0.35">
      <c r="B193" t="s">
        <v>12</v>
      </c>
      <c r="C193">
        <v>17</v>
      </c>
      <c r="D193" s="5">
        <v>0.82352941176470584</v>
      </c>
      <c r="E193" s="6">
        <f t="shared" si="4"/>
        <v>0.17647058823529416</v>
      </c>
    </row>
    <row r="194" spans="1:5" x14ac:dyDescent="0.35">
      <c r="B194" t="s">
        <v>13</v>
      </c>
      <c r="C194">
        <v>11</v>
      </c>
      <c r="D194" s="5">
        <v>0.81818181818181823</v>
      </c>
      <c r="E194" s="6">
        <f t="shared" si="4"/>
        <v>0.18181818181818177</v>
      </c>
    </row>
    <row r="195" spans="1:5" x14ac:dyDescent="0.35">
      <c r="B195" t="s">
        <v>18</v>
      </c>
      <c r="C195">
        <v>13</v>
      </c>
      <c r="D195" s="5">
        <v>0.92307692307692313</v>
      </c>
      <c r="E195" s="6">
        <f t="shared" si="4"/>
        <v>7.6923076923076872E-2</v>
      </c>
    </row>
    <row r="196" spans="1:5" x14ac:dyDescent="0.35">
      <c r="B196" t="s">
        <v>17</v>
      </c>
      <c r="C196">
        <v>16</v>
      </c>
      <c r="D196" s="5">
        <v>0.8125</v>
      </c>
      <c r="E196" s="6">
        <f t="shared" si="4"/>
        <v>0.1875</v>
      </c>
    </row>
    <row r="197" spans="1:5" x14ac:dyDescent="0.35">
      <c r="B197" t="s">
        <v>8</v>
      </c>
      <c r="C197">
        <v>10</v>
      </c>
      <c r="D197" s="5">
        <v>1</v>
      </c>
      <c r="E197" s="6">
        <f t="shared" si="4"/>
        <v>0</v>
      </c>
    </row>
    <row r="198" spans="1:5" x14ac:dyDescent="0.35">
      <c r="B198" t="s">
        <v>20</v>
      </c>
      <c r="C198">
        <v>9</v>
      </c>
      <c r="D198" s="5">
        <v>0.55555555555555558</v>
      </c>
      <c r="E198" s="6">
        <f t="shared" si="4"/>
        <v>0.44444444444444442</v>
      </c>
    </row>
    <row r="199" spans="1:5" x14ac:dyDescent="0.35">
      <c r="A199" t="s">
        <v>18</v>
      </c>
      <c r="B199" t="s">
        <v>21</v>
      </c>
      <c r="C199">
        <v>14</v>
      </c>
      <c r="D199" s="5">
        <v>0.9285714285714286</v>
      </c>
      <c r="E199" s="6">
        <f t="shared" si="4"/>
        <v>7.1428571428571397E-2</v>
      </c>
    </row>
    <row r="200" spans="1:5" x14ac:dyDescent="0.35">
      <c r="B200" t="s">
        <v>16</v>
      </c>
      <c r="C200">
        <v>17</v>
      </c>
      <c r="D200" s="5">
        <v>0.82352941176470584</v>
      </c>
      <c r="E200" s="6">
        <f t="shared" si="4"/>
        <v>0.17647058823529416</v>
      </c>
    </row>
    <row r="201" spans="1:5" x14ac:dyDescent="0.35">
      <c r="B201" t="s">
        <v>22</v>
      </c>
      <c r="C201">
        <v>13</v>
      </c>
      <c r="D201" s="5">
        <v>0.84615384615384615</v>
      </c>
      <c r="E201" s="6">
        <f t="shared" si="4"/>
        <v>0.15384615384615385</v>
      </c>
    </row>
    <row r="202" spans="1:5" x14ac:dyDescent="0.35">
      <c r="B202" t="s">
        <v>12</v>
      </c>
      <c r="C202">
        <v>9</v>
      </c>
      <c r="D202" s="5">
        <v>1</v>
      </c>
      <c r="E202" s="6">
        <f t="shared" si="4"/>
        <v>0</v>
      </c>
    </row>
    <row r="203" spans="1:5" x14ac:dyDescent="0.35">
      <c r="B203" t="s">
        <v>13</v>
      </c>
      <c r="C203">
        <v>13</v>
      </c>
      <c r="D203" s="5">
        <v>1</v>
      </c>
      <c r="E203" s="6">
        <f t="shared" si="4"/>
        <v>0</v>
      </c>
    </row>
    <row r="204" spans="1:5" x14ac:dyDescent="0.35">
      <c r="B204" t="s">
        <v>9</v>
      </c>
      <c r="C204">
        <v>15</v>
      </c>
      <c r="D204" s="5">
        <v>0.93333333333333335</v>
      </c>
      <c r="E204" s="6">
        <f t="shared" si="4"/>
        <v>6.6666666666666652E-2</v>
      </c>
    </row>
    <row r="205" spans="1:5" x14ac:dyDescent="0.35">
      <c r="B205" t="s">
        <v>17</v>
      </c>
      <c r="C205">
        <v>9</v>
      </c>
      <c r="D205" s="5">
        <v>0.88888888888888884</v>
      </c>
      <c r="E205" s="6">
        <f t="shared" si="4"/>
        <v>0.11111111111111116</v>
      </c>
    </row>
    <row r="206" spans="1:5" x14ac:dyDescent="0.35">
      <c r="B206" t="s">
        <v>8</v>
      </c>
      <c r="C206">
        <v>8</v>
      </c>
      <c r="D206" s="5">
        <v>1</v>
      </c>
      <c r="E206" s="6">
        <f t="shared" si="4"/>
        <v>0</v>
      </c>
    </row>
    <row r="207" spans="1:5" x14ac:dyDescent="0.35">
      <c r="B207" t="s">
        <v>20</v>
      </c>
      <c r="C207">
        <v>12</v>
      </c>
      <c r="D207" s="5">
        <v>0.83333333333333337</v>
      </c>
      <c r="E207" s="6">
        <f t="shared" si="4"/>
        <v>0.16666666666666663</v>
      </c>
    </row>
    <row r="208" spans="1:5" x14ac:dyDescent="0.35">
      <c r="A208" t="s">
        <v>17</v>
      </c>
      <c r="B208" t="s">
        <v>21</v>
      </c>
      <c r="C208">
        <v>9</v>
      </c>
      <c r="D208" s="5">
        <v>0.77777777777777779</v>
      </c>
      <c r="E208" s="6">
        <f t="shared" si="4"/>
        <v>0.22222222222222221</v>
      </c>
    </row>
    <row r="209" spans="1:5" x14ac:dyDescent="0.35">
      <c r="B209" t="s">
        <v>16</v>
      </c>
      <c r="C209">
        <v>12</v>
      </c>
      <c r="D209" s="5">
        <v>0.83333333333333337</v>
      </c>
      <c r="E209" s="6">
        <f t="shared" ref="E209:E235" si="5">1-$D209</f>
        <v>0.16666666666666663</v>
      </c>
    </row>
    <row r="210" spans="1:5" x14ac:dyDescent="0.35">
      <c r="B210" t="s">
        <v>22</v>
      </c>
      <c r="C210">
        <v>16</v>
      </c>
      <c r="D210" s="5">
        <v>0.625</v>
      </c>
      <c r="E210" s="6">
        <f t="shared" si="5"/>
        <v>0.375</v>
      </c>
    </row>
    <row r="211" spans="1:5" x14ac:dyDescent="0.35">
      <c r="B211" t="s">
        <v>12</v>
      </c>
      <c r="C211">
        <v>15</v>
      </c>
      <c r="D211" s="5">
        <v>0.66666666666666663</v>
      </c>
      <c r="E211" s="6">
        <f t="shared" si="5"/>
        <v>0.33333333333333337</v>
      </c>
    </row>
    <row r="212" spans="1:5" x14ac:dyDescent="0.35">
      <c r="B212" t="s">
        <v>13</v>
      </c>
      <c r="C212">
        <v>12</v>
      </c>
      <c r="D212" s="5">
        <v>0.83333333333333337</v>
      </c>
      <c r="E212" s="6">
        <f t="shared" si="5"/>
        <v>0.16666666666666663</v>
      </c>
    </row>
    <row r="213" spans="1:5" x14ac:dyDescent="0.35">
      <c r="B213" t="s">
        <v>9</v>
      </c>
      <c r="C213">
        <v>12</v>
      </c>
      <c r="D213" s="5">
        <v>0.83333333333333337</v>
      </c>
      <c r="E213" s="6">
        <f t="shared" si="5"/>
        <v>0.16666666666666663</v>
      </c>
    </row>
    <row r="214" spans="1:5" x14ac:dyDescent="0.35">
      <c r="B214" t="s">
        <v>18</v>
      </c>
      <c r="C214">
        <v>10</v>
      </c>
      <c r="D214" s="5">
        <v>0.8</v>
      </c>
      <c r="E214" s="6">
        <f t="shared" si="5"/>
        <v>0.19999999999999996</v>
      </c>
    </row>
    <row r="215" spans="1:5" x14ac:dyDescent="0.35">
      <c r="B215" t="s">
        <v>8</v>
      </c>
      <c r="C215">
        <v>10</v>
      </c>
      <c r="D215" s="5">
        <v>1</v>
      </c>
      <c r="E215" s="6">
        <f t="shared" si="5"/>
        <v>0</v>
      </c>
    </row>
    <row r="216" spans="1:5" x14ac:dyDescent="0.35">
      <c r="B216" t="s">
        <v>20</v>
      </c>
      <c r="C216">
        <v>11</v>
      </c>
      <c r="D216" s="5">
        <v>0.81818181818181823</v>
      </c>
      <c r="E216" s="6">
        <f t="shared" si="5"/>
        <v>0.18181818181818177</v>
      </c>
    </row>
    <row r="217" spans="1:5" x14ac:dyDescent="0.35">
      <c r="A217" t="s">
        <v>8</v>
      </c>
      <c r="B217" t="s">
        <v>21</v>
      </c>
      <c r="C217">
        <v>11</v>
      </c>
      <c r="D217" s="5">
        <v>1</v>
      </c>
      <c r="E217" s="6">
        <f t="shared" si="5"/>
        <v>0</v>
      </c>
    </row>
    <row r="218" spans="1:5" x14ac:dyDescent="0.35">
      <c r="B218" t="s">
        <v>16</v>
      </c>
      <c r="C218">
        <v>8</v>
      </c>
      <c r="D218" s="5">
        <v>0.75</v>
      </c>
      <c r="E218" s="6">
        <f t="shared" si="5"/>
        <v>0.25</v>
      </c>
    </row>
    <row r="219" spans="1:5" x14ac:dyDescent="0.35">
      <c r="B219" t="s">
        <v>22</v>
      </c>
      <c r="C219">
        <v>13</v>
      </c>
      <c r="D219" s="5">
        <v>0.69230769230769229</v>
      </c>
      <c r="E219" s="6">
        <f t="shared" si="5"/>
        <v>0.30769230769230771</v>
      </c>
    </row>
    <row r="220" spans="1:5" x14ac:dyDescent="0.35">
      <c r="B220" t="s">
        <v>12</v>
      </c>
      <c r="C220">
        <v>4</v>
      </c>
      <c r="D220" s="5">
        <v>1</v>
      </c>
      <c r="E220" s="6">
        <f t="shared" si="5"/>
        <v>0</v>
      </c>
    </row>
    <row r="221" spans="1:5" x14ac:dyDescent="0.35">
      <c r="B221" t="s">
        <v>13</v>
      </c>
      <c r="C221">
        <v>17</v>
      </c>
      <c r="D221" s="5">
        <v>0.76470588235294112</v>
      </c>
      <c r="E221" s="6">
        <f t="shared" si="5"/>
        <v>0.23529411764705888</v>
      </c>
    </row>
    <row r="222" spans="1:5" x14ac:dyDescent="0.35">
      <c r="B222" t="s">
        <v>9</v>
      </c>
      <c r="C222">
        <v>10</v>
      </c>
      <c r="D222" s="5">
        <v>0.8</v>
      </c>
      <c r="E222" s="6">
        <f t="shared" si="5"/>
        <v>0.19999999999999996</v>
      </c>
    </row>
    <row r="223" spans="1:5" x14ac:dyDescent="0.35">
      <c r="B223" t="s">
        <v>18</v>
      </c>
      <c r="C223">
        <v>8</v>
      </c>
      <c r="D223" s="5">
        <v>1</v>
      </c>
      <c r="E223" s="6">
        <f t="shared" si="5"/>
        <v>0</v>
      </c>
    </row>
    <row r="224" spans="1:5" x14ac:dyDescent="0.35">
      <c r="B224" t="s">
        <v>17</v>
      </c>
      <c r="C224">
        <v>13</v>
      </c>
      <c r="D224" s="5">
        <v>0.84615384615384615</v>
      </c>
      <c r="E224" s="6">
        <f t="shared" si="5"/>
        <v>0.15384615384615385</v>
      </c>
    </row>
    <row r="225" spans="1:5" x14ac:dyDescent="0.35">
      <c r="B225" t="s">
        <v>20</v>
      </c>
      <c r="C225">
        <v>10</v>
      </c>
      <c r="D225" s="5">
        <v>1</v>
      </c>
      <c r="E225" s="6">
        <f t="shared" si="5"/>
        <v>0</v>
      </c>
    </row>
    <row r="226" spans="1:5" x14ac:dyDescent="0.35">
      <c r="A226" t="s">
        <v>20</v>
      </c>
      <c r="B226" t="s">
        <v>21</v>
      </c>
      <c r="C226">
        <v>8</v>
      </c>
      <c r="D226" s="5">
        <v>0.75</v>
      </c>
      <c r="E226" s="6">
        <f t="shared" si="5"/>
        <v>0.25</v>
      </c>
    </row>
    <row r="227" spans="1:5" x14ac:dyDescent="0.35">
      <c r="B227" t="s">
        <v>16</v>
      </c>
      <c r="C227">
        <v>10</v>
      </c>
      <c r="D227" s="5">
        <v>0.9</v>
      </c>
      <c r="E227" s="6">
        <f t="shared" si="5"/>
        <v>9.9999999999999978E-2</v>
      </c>
    </row>
    <row r="228" spans="1:5" x14ac:dyDescent="0.35">
      <c r="B228" t="s">
        <v>22</v>
      </c>
      <c r="C228">
        <v>15</v>
      </c>
      <c r="D228" s="5">
        <v>0.93333333333333335</v>
      </c>
      <c r="E228" s="6">
        <f t="shared" si="5"/>
        <v>6.6666666666666652E-2</v>
      </c>
    </row>
    <row r="229" spans="1:5" x14ac:dyDescent="0.35">
      <c r="B229" t="s">
        <v>12</v>
      </c>
      <c r="C229">
        <v>10</v>
      </c>
      <c r="D229" s="5">
        <v>0.7</v>
      </c>
      <c r="E229" s="6">
        <f t="shared" si="5"/>
        <v>0.30000000000000004</v>
      </c>
    </row>
    <row r="230" spans="1:5" x14ac:dyDescent="0.35">
      <c r="B230" t="s">
        <v>13</v>
      </c>
      <c r="C230">
        <v>10</v>
      </c>
      <c r="D230" s="5">
        <v>0.7</v>
      </c>
      <c r="E230" s="6">
        <f t="shared" si="5"/>
        <v>0.30000000000000004</v>
      </c>
    </row>
    <row r="231" spans="1:5" x14ac:dyDescent="0.35">
      <c r="B231" t="s">
        <v>9</v>
      </c>
      <c r="C231">
        <v>10</v>
      </c>
      <c r="D231" s="5">
        <v>1</v>
      </c>
      <c r="E231" s="6">
        <f t="shared" si="5"/>
        <v>0</v>
      </c>
    </row>
    <row r="232" spans="1:5" x14ac:dyDescent="0.35">
      <c r="B232" t="s">
        <v>18</v>
      </c>
      <c r="C232">
        <v>5</v>
      </c>
      <c r="D232" s="5">
        <v>1</v>
      </c>
      <c r="E232" s="6">
        <f t="shared" si="5"/>
        <v>0</v>
      </c>
    </row>
    <row r="233" spans="1:5" x14ac:dyDescent="0.35">
      <c r="B233" t="s">
        <v>17</v>
      </c>
      <c r="C233">
        <v>11</v>
      </c>
      <c r="D233" s="5">
        <v>0.90909090909090906</v>
      </c>
      <c r="E233" s="6">
        <f t="shared" si="5"/>
        <v>9.0909090909090939E-2</v>
      </c>
    </row>
    <row r="234" spans="1:5" x14ac:dyDescent="0.35">
      <c r="B234" t="s">
        <v>8</v>
      </c>
      <c r="C234">
        <v>12</v>
      </c>
      <c r="D234" s="5">
        <v>0.83333333333333337</v>
      </c>
      <c r="E234" s="6">
        <f t="shared" si="5"/>
        <v>0.16666666666666663</v>
      </c>
    </row>
    <row r="235" spans="1:5" x14ac:dyDescent="0.35">
      <c r="A235" t="s">
        <v>24</v>
      </c>
      <c r="C235">
        <v>1000</v>
      </c>
      <c r="D235" s="5">
        <v>0.84</v>
      </c>
      <c r="E235" s="45">
        <f t="shared" si="5"/>
        <v>0.16000000000000003</v>
      </c>
    </row>
  </sheetData>
  <mergeCells count="4">
    <mergeCell ref="C5:D5"/>
    <mergeCell ref="A16:B16"/>
    <mergeCell ref="C16:D16"/>
    <mergeCell ref="E16:F16"/>
  </mergeCells>
  <dataValidations count="1">
    <dataValidation type="list" allowBlank="1" showInputMessage="1" showErrorMessage="1" sqref="H35" xr:uid="{FC138585-B977-4BE1-93BB-F8C93B751239}">
      <formula1>"Road,Air"</formula1>
    </dataValidation>
  </dataValidations>
  <pageMargins left="0.7" right="0.7" top="0.75" bottom="0.75" header="0.3" footer="0.3"/>
  <pageSetup orientation="portrait" r:id="rId11"/>
  <tableParts count="4">
    <tablePart r:id="rId12"/>
    <tablePart r:id="rId13"/>
    <tablePart r:id="rId14"/>
    <tablePart r:id="rId1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1"/>
  <sheetViews>
    <sheetView zoomScale="55" zoomScaleNormal="55" workbookViewId="0">
      <selection activeCell="P14" sqref="P14"/>
    </sheetView>
  </sheetViews>
  <sheetFormatPr defaultRowHeight="14.5" x14ac:dyDescent="0.35"/>
  <cols>
    <col min="1" max="1" width="13.90625" bestFit="1" customWidth="1"/>
    <col min="2" max="2" width="12.26953125" bestFit="1" customWidth="1"/>
    <col min="3" max="3" width="17.08984375" bestFit="1" customWidth="1"/>
    <col min="4" max="4" width="16.1796875" bestFit="1" customWidth="1"/>
    <col min="5" max="5" width="18.08984375" customWidth="1"/>
    <col min="6" max="6" width="12" bestFit="1" customWidth="1"/>
    <col min="7" max="7" width="13.90625" bestFit="1" customWidth="1"/>
    <col min="8" max="8" width="19.7265625" bestFit="1" customWidth="1"/>
    <col min="9" max="9" width="24.453125" bestFit="1" customWidth="1"/>
    <col min="10" max="10" width="9.54296875" customWidth="1"/>
    <col min="11" max="11" width="10.6328125" bestFit="1" customWidth="1"/>
    <col min="12" max="12" width="15.81640625" bestFit="1" customWidth="1"/>
  </cols>
  <sheetData>
    <row r="1" spans="1:12" x14ac:dyDescent="0.35">
      <c r="A1" t="s">
        <v>0</v>
      </c>
      <c r="B1" t="s">
        <v>1</v>
      </c>
      <c r="C1" t="s">
        <v>2</v>
      </c>
      <c r="D1" t="s">
        <v>3</v>
      </c>
      <c r="E1" t="s">
        <v>25</v>
      </c>
      <c r="F1" t="s">
        <v>4</v>
      </c>
      <c r="G1" t="s">
        <v>45</v>
      </c>
      <c r="H1" t="s">
        <v>5</v>
      </c>
      <c r="I1" t="s">
        <v>39</v>
      </c>
      <c r="J1" t="s">
        <v>6</v>
      </c>
      <c r="K1" t="s">
        <v>26</v>
      </c>
      <c r="L1" t="s">
        <v>7</v>
      </c>
    </row>
    <row r="2" spans="1:12" x14ac:dyDescent="0.35">
      <c r="A2">
        <v>1</v>
      </c>
      <c r="B2" t="s">
        <v>8</v>
      </c>
      <c r="C2" t="s">
        <v>9</v>
      </c>
      <c r="D2" t="s">
        <v>10</v>
      </c>
      <c r="E2" t="str">
        <f>IF(logistics_classification_dataset__1[[#This Row],[Shipment_Type]]="Kara","Road",IF(logistics_classification_dataset__1[[#This Row],[Shipment_Type]]="Hava","Air",IF(logistics_classification_dataset__1[[#This Row],[Shipment_Type]]="Deniz","Sea")))</f>
        <v>Road</v>
      </c>
      <c r="F2">
        <v>1054.93</v>
      </c>
      <c r="G2" t="str">
        <f t="shared" ref="G2:G65" si="0">IF(F2&lt;=500,"0–500",IF(F2&lt;=1000,"501–1000",IF(F2&lt;=1500,"1001–1500","1501–2000")))</f>
        <v>1001–1500</v>
      </c>
      <c r="H2" s="1">
        <v>1052</v>
      </c>
      <c r="I2" t="str">
        <f t="shared" ref="I2:I65" si="1">IF(H2&lt;=500,"0–500",IF(H2&lt;=1000,"501–1000",IF(H2&lt;=1500,"1001–1500",IF(H2&lt;=2000,"1501–2000","&gt;2000"))))</f>
        <v>1001–1500</v>
      </c>
      <c r="J2" t="s">
        <v>11</v>
      </c>
      <c r="K2" t="str">
        <f>IF(logistics_classification_dataset__1[[#This Row],[Customer_Segment]]="Bireysel","Individual",IF(logistics_classification_dataset__1[[#This Row],[Customer_Segment]]="Kurumsal","Corporate"))</f>
        <v>Individual</v>
      </c>
      <c r="L2">
        <v>1</v>
      </c>
    </row>
    <row r="3" spans="1:12" x14ac:dyDescent="0.35">
      <c r="A3">
        <v>2</v>
      </c>
      <c r="B3" t="s">
        <v>12</v>
      </c>
      <c r="C3" t="s">
        <v>13</v>
      </c>
      <c r="D3" t="s">
        <v>10</v>
      </c>
      <c r="E3" t="str">
        <f>IF(logistics_classification_dataset__1[[#This Row],[Shipment_Type]]="Kara","Road",IF(logistics_classification_dataset__1[[#This Row],[Shipment_Type]]="Hava","Air",IF(logistics_classification_dataset__1[[#This Row],[Shipment_Type]]="Deniz","Sea")))</f>
        <v>Road</v>
      </c>
      <c r="F3">
        <v>929.03</v>
      </c>
      <c r="G3" t="str">
        <f t="shared" si="0"/>
        <v>501–1000</v>
      </c>
      <c r="H3" s="1">
        <v>1811.4</v>
      </c>
      <c r="I3" t="str">
        <f t="shared" si="1"/>
        <v>1501–2000</v>
      </c>
      <c r="J3" t="s">
        <v>14</v>
      </c>
      <c r="K3" t="str">
        <f>IF(logistics_classification_dataset__1[[#This Row],[Customer_Segment]]="Bireysel","Individual",IF(logistics_classification_dataset__1[[#This Row],[Customer_Segment]]="Kurumsal","Corporate"))</f>
        <v>Corporate</v>
      </c>
      <c r="L3">
        <v>0</v>
      </c>
    </row>
    <row r="4" spans="1:12" x14ac:dyDescent="0.35">
      <c r="A4">
        <v>3</v>
      </c>
      <c r="B4" t="s">
        <v>13</v>
      </c>
      <c r="C4" t="s">
        <v>12</v>
      </c>
      <c r="D4" t="s">
        <v>15</v>
      </c>
      <c r="E4" t="str">
        <f>IF(logistics_classification_dataset__1[[#This Row],[Shipment_Type]]="Kara","Road",IF(logistics_classification_dataset__1[[#This Row],[Shipment_Type]]="Hava","Air",IF(logistics_classification_dataset__1[[#This Row],[Shipment_Type]]="Deniz","Sea")))</f>
        <v>Air</v>
      </c>
      <c r="F4">
        <v>473.13</v>
      </c>
      <c r="G4" t="str">
        <f t="shared" si="0"/>
        <v>0–500</v>
      </c>
      <c r="H4" s="1">
        <v>1785.3</v>
      </c>
      <c r="I4" t="str">
        <f t="shared" si="1"/>
        <v>1501–2000</v>
      </c>
      <c r="J4" t="s">
        <v>11</v>
      </c>
      <c r="K4" t="str">
        <f>IF(logistics_classification_dataset__1[[#This Row],[Customer_Segment]]="Bireysel","Individual",IF(logistics_classification_dataset__1[[#This Row],[Customer_Segment]]="Kurumsal","Corporate"))</f>
        <v>Individual</v>
      </c>
      <c r="L4">
        <v>1</v>
      </c>
    </row>
    <row r="5" spans="1:12" x14ac:dyDescent="0.35">
      <c r="A5">
        <v>4</v>
      </c>
      <c r="B5" t="s">
        <v>16</v>
      </c>
      <c r="C5" t="s">
        <v>12</v>
      </c>
      <c r="D5" t="s">
        <v>10</v>
      </c>
      <c r="E5" t="str">
        <f>IF(logistics_classification_dataset__1[[#This Row],[Shipment_Type]]="Kara","Road",IF(logistics_classification_dataset__1[[#This Row],[Shipment_Type]]="Hava","Air",IF(logistics_classification_dataset__1[[#This Row],[Shipment_Type]]="Deniz","Sea")))</f>
        <v>Road</v>
      </c>
      <c r="F5">
        <v>609.87</v>
      </c>
      <c r="G5" t="str">
        <f t="shared" si="0"/>
        <v>501–1000</v>
      </c>
      <c r="H5" s="1">
        <v>1644.8</v>
      </c>
      <c r="I5" t="str">
        <f t="shared" si="1"/>
        <v>1501–2000</v>
      </c>
      <c r="J5" t="s">
        <v>11</v>
      </c>
      <c r="K5" t="str">
        <f>IF(logistics_classification_dataset__1[[#This Row],[Customer_Segment]]="Bireysel","Individual",IF(logistics_classification_dataset__1[[#This Row],[Customer_Segment]]="Kurumsal","Corporate"))</f>
        <v>Individual</v>
      </c>
      <c r="L5">
        <v>1</v>
      </c>
    </row>
    <row r="6" spans="1:12" x14ac:dyDescent="0.35">
      <c r="A6">
        <v>5</v>
      </c>
      <c r="B6" t="s">
        <v>8</v>
      </c>
      <c r="C6" t="s">
        <v>16</v>
      </c>
      <c r="D6" t="s">
        <v>10</v>
      </c>
      <c r="E6" t="str">
        <f>IF(logistics_classification_dataset__1[[#This Row],[Shipment_Type]]="Kara","Road",IF(logistics_classification_dataset__1[[#This Row],[Shipment_Type]]="Hava","Air",IF(logistics_classification_dataset__1[[#This Row],[Shipment_Type]]="Deniz","Sea")))</f>
        <v>Road</v>
      </c>
      <c r="F6">
        <v>583.49</v>
      </c>
      <c r="G6" t="str">
        <f t="shared" si="0"/>
        <v>501–1000</v>
      </c>
      <c r="H6" s="1">
        <v>1044.8</v>
      </c>
      <c r="I6" t="str">
        <f t="shared" si="1"/>
        <v>1001–1500</v>
      </c>
      <c r="J6" t="s">
        <v>14</v>
      </c>
      <c r="K6" t="str">
        <f>IF(logistics_classification_dataset__1[[#This Row],[Customer_Segment]]="Bireysel","Individual",IF(logistics_classification_dataset__1[[#This Row],[Customer_Segment]]="Kurumsal","Corporate"))</f>
        <v>Corporate</v>
      </c>
      <c r="L6">
        <v>0</v>
      </c>
    </row>
    <row r="7" spans="1:12" x14ac:dyDescent="0.35">
      <c r="A7">
        <v>6</v>
      </c>
      <c r="B7" t="s">
        <v>17</v>
      </c>
      <c r="C7" t="s">
        <v>13</v>
      </c>
      <c r="D7" t="s">
        <v>15</v>
      </c>
      <c r="E7" t="str">
        <f>IF(logistics_classification_dataset__1[[#This Row],[Shipment_Type]]="Kara","Road",IF(logistics_classification_dataset__1[[#This Row],[Shipment_Type]]="Hava","Air",IF(logistics_classification_dataset__1[[#This Row],[Shipment_Type]]="Deniz","Sea")))</f>
        <v>Air</v>
      </c>
      <c r="F7">
        <v>1128.76</v>
      </c>
      <c r="G7" t="str">
        <f t="shared" si="0"/>
        <v>1001–1500</v>
      </c>
      <c r="H7" s="1">
        <v>1485.7</v>
      </c>
      <c r="I7" t="str">
        <f t="shared" si="1"/>
        <v>1001–1500</v>
      </c>
      <c r="J7" t="s">
        <v>11</v>
      </c>
      <c r="K7" t="str">
        <f>IF(logistics_classification_dataset__1[[#This Row],[Customer_Segment]]="Bireysel","Individual",IF(logistics_classification_dataset__1[[#This Row],[Customer_Segment]]="Kurumsal","Corporate"))</f>
        <v>Individual</v>
      </c>
      <c r="L7">
        <v>1</v>
      </c>
    </row>
    <row r="8" spans="1:12" x14ac:dyDescent="0.35">
      <c r="A8">
        <v>7</v>
      </c>
      <c r="B8" t="s">
        <v>18</v>
      </c>
      <c r="C8" t="s">
        <v>16</v>
      </c>
      <c r="D8" t="s">
        <v>15</v>
      </c>
      <c r="E8" t="str">
        <f>IF(logistics_classification_dataset__1[[#This Row],[Shipment_Type]]="Kara","Road",IF(logistics_classification_dataset__1[[#This Row],[Shipment_Type]]="Hava","Air",IF(logistics_classification_dataset__1[[#This Row],[Shipment_Type]]="Deniz","Sea")))</f>
        <v>Air</v>
      </c>
      <c r="F8">
        <v>244.31</v>
      </c>
      <c r="G8" t="str">
        <f t="shared" si="0"/>
        <v>0–500</v>
      </c>
      <c r="H8" s="1">
        <v>1050.0999999999999</v>
      </c>
      <c r="I8" t="str">
        <f t="shared" si="1"/>
        <v>1001–1500</v>
      </c>
      <c r="J8" t="s">
        <v>11</v>
      </c>
      <c r="K8" t="str">
        <f>IF(logistics_classification_dataset__1[[#This Row],[Customer_Segment]]="Bireysel","Individual",IF(logistics_classification_dataset__1[[#This Row],[Customer_Segment]]="Kurumsal","Corporate"))</f>
        <v>Individual</v>
      </c>
      <c r="L8">
        <v>0</v>
      </c>
    </row>
    <row r="9" spans="1:12" x14ac:dyDescent="0.35">
      <c r="A9">
        <v>8</v>
      </c>
      <c r="B9" t="s">
        <v>8</v>
      </c>
      <c r="C9" t="s">
        <v>13</v>
      </c>
      <c r="D9" t="s">
        <v>10</v>
      </c>
      <c r="E9" t="str">
        <f>IF(logistics_classification_dataset__1[[#This Row],[Shipment_Type]]="Kara","Road",IF(logistics_classification_dataset__1[[#This Row],[Shipment_Type]]="Hava","Air",IF(logistics_classification_dataset__1[[#This Row],[Shipment_Type]]="Deniz","Sea")))</f>
        <v>Road</v>
      </c>
      <c r="F9">
        <v>183.4</v>
      </c>
      <c r="G9" t="str">
        <f t="shared" si="0"/>
        <v>0–500</v>
      </c>
      <c r="H9" s="1">
        <v>1745.7</v>
      </c>
      <c r="I9" t="str">
        <f t="shared" si="1"/>
        <v>1501–2000</v>
      </c>
      <c r="J9" t="s">
        <v>11</v>
      </c>
      <c r="K9" t="str">
        <f>IF(logistics_classification_dataset__1[[#This Row],[Customer_Segment]]="Bireysel","Individual",IF(logistics_classification_dataset__1[[#This Row],[Customer_Segment]]="Kurumsal","Corporate"))</f>
        <v>Individual</v>
      </c>
      <c r="L9">
        <v>0</v>
      </c>
    </row>
    <row r="10" spans="1:12" x14ac:dyDescent="0.35">
      <c r="A10">
        <v>9</v>
      </c>
      <c r="B10" t="s">
        <v>13</v>
      </c>
      <c r="C10" t="s">
        <v>17</v>
      </c>
      <c r="D10" t="s">
        <v>19</v>
      </c>
      <c r="E10" t="str">
        <f>IF(logistics_classification_dataset__1[[#This Row],[Shipment_Type]]="Kara","Road",IF(logistics_classification_dataset__1[[#This Row],[Shipment_Type]]="Hava","Air",IF(logistics_classification_dataset__1[[#This Row],[Shipment_Type]]="Deniz","Sea")))</f>
        <v>Sea</v>
      </c>
      <c r="F10">
        <v>1442.71</v>
      </c>
      <c r="G10" t="str">
        <f t="shared" si="0"/>
        <v>1001–1500</v>
      </c>
      <c r="H10" s="1">
        <v>835.4</v>
      </c>
      <c r="I10" t="str">
        <f t="shared" si="1"/>
        <v>501–1000</v>
      </c>
      <c r="J10" t="s">
        <v>11</v>
      </c>
      <c r="K10" t="str">
        <f>IF(logistics_classification_dataset__1[[#This Row],[Customer_Segment]]="Bireysel","Individual",IF(logistics_classification_dataset__1[[#This Row],[Customer_Segment]]="Kurumsal","Corporate"))</f>
        <v>Individual</v>
      </c>
      <c r="L10">
        <v>1</v>
      </c>
    </row>
    <row r="11" spans="1:12" x14ac:dyDescent="0.35">
      <c r="A11">
        <v>10</v>
      </c>
      <c r="B11" t="s">
        <v>16</v>
      </c>
      <c r="C11" t="s">
        <v>9</v>
      </c>
      <c r="D11" t="s">
        <v>15</v>
      </c>
      <c r="E11" t="str">
        <f>IF(logistics_classification_dataset__1[[#This Row],[Shipment_Type]]="Kara","Road",IF(logistics_classification_dataset__1[[#This Row],[Shipment_Type]]="Hava","Air",IF(logistics_classification_dataset__1[[#This Row],[Shipment_Type]]="Deniz","Sea")))</f>
        <v>Air</v>
      </c>
      <c r="F11">
        <v>805.88</v>
      </c>
      <c r="G11" t="str">
        <f t="shared" si="0"/>
        <v>501–1000</v>
      </c>
      <c r="H11" s="1">
        <v>1942</v>
      </c>
      <c r="I11" t="str">
        <f t="shared" si="1"/>
        <v>1501–2000</v>
      </c>
      <c r="J11" t="s">
        <v>11</v>
      </c>
      <c r="K11" t="str">
        <f>IF(logistics_classification_dataset__1[[#This Row],[Customer_Segment]]="Bireysel","Individual",IF(logistics_classification_dataset__1[[#This Row],[Customer_Segment]]="Kurumsal","Corporate"))</f>
        <v>Individual</v>
      </c>
      <c r="L11">
        <v>1</v>
      </c>
    </row>
    <row r="12" spans="1:12" x14ac:dyDescent="0.35">
      <c r="A12">
        <v>11</v>
      </c>
      <c r="B12" t="s">
        <v>12</v>
      </c>
      <c r="C12" t="s">
        <v>17</v>
      </c>
      <c r="D12" t="s">
        <v>10</v>
      </c>
      <c r="E12" t="str">
        <f>IF(logistics_classification_dataset__1[[#This Row],[Shipment_Type]]="Kara","Road",IF(logistics_classification_dataset__1[[#This Row],[Shipment_Type]]="Hava","Air",IF(logistics_classification_dataset__1[[#This Row],[Shipment_Type]]="Deniz","Sea")))</f>
        <v>Road</v>
      </c>
      <c r="F12">
        <v>321.45999999999998</v>
      </c>
      <c r="G12" t="str">
        <f t="shared" si="0"/>
        <v>0–500</v>
      </c>
      <c r="H12" s="1">
        <v>1868</v>
      </c>
      <c r="I12" t="str">
        <f t="shared" si="1"/>
        <v>1501–2000</v>
      </c>
      <c r="J12" t="s">
        <v>11</v>
      </c>
      <c r="K12" t="str">
        <f>IF(logistics_classification_dataset__1[[#This Row],[Customer_Segment]]="Bireysel","Individual",IF(logistics_classification_dataset__1[[#This Row],[Customer_Segment]]="Kurumsal","Corporate"))</f>
        <v>Individual</v>
      </c>
      <c r="L12">
        <v>1</v>
      </c>
    </row>
    <row r="13" spans="1:12" x14ac:dyDescent="0.35">
      <c r="A13">
        <v>12</v>
      </c>
      <c r="B13" t="s">
        <v>13</v>
      </c>
      <c r="C13" t="s">
        <v>20</v>
      </c>
      <c r="D13" t="s">
        <v>15</v>
      </c>
      <c r="E13" t="str">
        <f>IF(logistics_classification_dataset__1[[#This Row],[Shipment_Type]]="Kara","Road",IF(logistics_classification_dataset__1[[#This Row],[Shipment_Type]]="Hava","Air",IF(logistics_classification_dataset__1[[#This Row],[Shipment_Type]]="Deniz","Sea")))</f>
        <v>Air</v>
      </c>
      <c r="F13">
        <v>1764.57</v>
      </c>
      <c r="G13" t="str">
        <f t="shared" si="0"/>
        <v>1501–2000</v>
      </c>
      <c r="H13" s="1">
        <v>1496.1</v>
      </c>
      <c r="I13" t="str">
        <f t="shared" si="1"/>
        <v>1001–1500</v>
      </c>
      <c r="J13" t="s">
        <v>11</v>
      </c>
      <c r="K13" t="str">
        <f>IF(logistics_classification_dataset__1[[#This Row],[Customer_Segment]]="Bireysel","Individual",IF(logistics_classification_dataset__1[[#This Row],[Customer_Segment]]="Kurumsal","Corporate"))</f>
        <v>Individual</v>
      </c>
      <c r="L13">
        <v>1</v>
      </c>
    </row>
    <row r="14" spans="1:12" x14ac:dyDescent="0.35">
      <c r="A14">
        <v>13</v>
      </c>
      <c r="B14" t="s">
        <v>13</v>
      </c>
      <c r="C14" t="s">
        <v>21</v>
      </c>
      <c r="D14" t="s">
        <v>10</v>
      </c>
      <c r="E14" t="str">
        <f>IF(logistics_classification_dataset__1[[#This Row],[Shipment_Type]]="Kara","Road",IF(logistics_classification_dataset__1[[#This Row],[Shipment_Type]]="Hava","Air",IF(logistics_classification_dataset__1[[#This Row],[Shipment_Type]]="Deniz","Sea")))</f>
        <v>Road</v>
      </c>
      <c r="F14">
        <v>1648.44</v>
      </c>
      <c r="G14" t="str">
        <f t="shared" si="0"/>
        <v>1501–2000</v>
      </c>
      <c r="H14" s="1">
        <v>594.9</v>
      </c>
      <c r="I14" t="str">
        <f t="shared" si="1"/>
        <v>501–1000</v>
      </c>
      <c r="J14" t="s">
        <v>11</v>
      </c>
      <c r="K14" t="str">
        <f>IF(logistics_classification_dataset__1[[#This Row],[Customer_Segment]]="Bireysel","Individual",IF(logistics_classification_dataset__1[[#This Row],[Customer_Segment]]="Kurumsal","Corporate"))</f>
        <v>Individual</v>
      </c>
      <c r="L14">
        <v>1</v>
      </c>
    </row>
    <row r="15" spans="1:12" x14ac:dyDescent="0.35">
      <c r="A15">
        <v>14</v>
      </c>
      <c r="B15" t="s">
        <v>18</v>
      </c>
      <c r="C15" t="s">
        <v>16</v>
      </c>
      <c r="D15" t="s">
        <v>10</v>
      </c>
      <c r="E15" t="str">
        <f>IF(logistics_classification_dataset__1[[#This Row],[Shipment_Type]]="Kara","Road",IF(logistics_classification_dataset__1[[#This Row],[Shipment_Type]]="Hava","Air",IF(logistics_classification_dataset__1[[#This Row],[Shipment_Type]]="Deniz","Sea")))</f>
        <v>Road</v>
      </c>
      <c r="F15">
        <v>1444.83</v>
      </c>
      <c r="G15" t="str">
        <f t="shared" si="0"/>
        <v>1001–1500</v>
      </c>
      <c r="H15" s="1">
        <v>306.7</v>
      </c>
      <c r="I15" t="str">
        <f t="shared" si="1"/>
        <v>0–500</v>
      </c>
      <c r="J15" t="s">
        <v>14</v>
      </c>
      <c r="K15" t="str">
        <f>IF(logistics_classification_dataset__1[[#This Row],[Customer_Segment]]="Bireysel","Individual",IF(logistics_classification_dataset__1[[#This Row],[Customer_Segment]]="Kurumsal","Corporate"))</f>
        <v>Corporate</v>
      </c>
      <c r="L15">
        <v>1</v>
      </c>
    </row>
    <row r="16" spans="1:12" x14ac:dyDescent="0.35">
      <c r="A16">
        <v>15</v>
      </c>
      <c r="B16" t="s">
        <v>21</v>
      </c>
      <c r="C16" t="s">
        <v>13</v>
      </c>
      <c r="D16" t="s">
        <v>10</v>
      </c>
      <c r="E16" t="str">
        <f>IF(logistics_classification_dataset__1[[#This Row],[Shipment_Type]]="Kara","Road",IF(logistics_classification_dataset__1[[#This Row],[Shipment_Type]]="Hava","Air",IF(logistics_classification_dataset__1[[#This Row],[Shipment_Type]]="Deniz","Sea")))</f>
        <v>Road</v>
      </c>
      <c r="F16">
        <v>546.74</v>
      </c>
      <c r="G16" t="str">
        <f t="shared" si="0"/>
        <v>501–1000</v>
      </c>
      <c r="H16" s="1">
        <v>1716.7</v>
      </c>
      <c r="I16" t="str">
        <f t="shared" si="1"/>
        <v>1501–2000</v>
      </c>
      <c r="J16" t="s">
        <v>14</v>
      </c>
      <c r="K16" t="str">
        <f>IF(logistics_classification_dataset__1[[#This Row],[Customer_Segment]]="Bireysel","Individual",IF(logistics_classification_dataset__1[[#This Row],[Customer_Segment]]="Kurumsal","Corporate"))</f>
        <v>Corporate</v>
      </c>
      <c r="L16">
        <v>1</v>
      </c>
    </row>
    <row r="17" spans="1:12" x14ac:dyDescent="0.35">
      <c r="A17">
        <v>16</v>
      </c>
      <c r="B17" t="s">
        <v>16</v>
      </c>
      <c r="C17" t="s">
        <v>20</v>
      </c>
      <c r="D17" t="s">
        <v>10</v>
      </c>
      <c r="E17" t="str">
        <f>IF(logistics_classification_dataset__1[[#This Row],[Shipment_Type]]="Kara","Road",IF(logistics_classification_dataset__1[[#This Row],[Shipment_Type]]="Hava","Air",IF(logistics_classification_dataset__1[[#This Row],[Shipment_Type]]="Deniz","Sea")))</f>
        <v>Road</v>
      </c>
      <c r="F17">
        <v>807.88</v>
      </c>
      <c r="G17" t="str">
        <f t="shared" si="0"/>
        <v>501–1000</v>
      </c>
      <c r="H17" s="1">
        <v>372.3</v>
      </c>
      <c r="I17" t="str">
        <f t="shared" si="1"/>
        <v>0–500</v>
      </c>
      <c r="J17" t="s">
        <v>14</v>
      </c>
      <c r="K17" t="str">
        <f>IF(logistics_classification_dataset__1[[#This Row],[Customer_Segment]]="Bireysel","Individual",IF(logistics_classification_dataset__1[[#This Row],[Customer_Segment]]="Kurumsal","Corporate"))</f>
        <v>Corporate</v>
      </c>
      <c r="L17">
        <v>1</v>
      </c>
    </row>
    <row r="18" spans="1:12" x14ac:dyDescent="0.35">
      <c r="A18">
        <v>17</v>
      </c>
      <c r="B18" t="s">
        <v>22</v>
      </c>
      <c r="C18" t="s">
        <v>21</v>
      </c>
      <c r="D18" t="s">
        <v>15</v>
      </c>
      <c r="E18" t="str">
        <f>IF(logistics_classification_dataset__1[[#This Row],[Shipment_Type]]="Kara","Road",IF(logistics_classification_dataset__1[[#This Row],[Shipment_Type]]="Hava","Air",IF(logistics_classification_dataset__1[[#This Row],[Shipment_Type]]="Deniz","Sea")))</f>
        <v>Air</v>
      </c>
      <c r="F18">
        <v>209.98</v>
      </c>
      <c r="G18" t="str">
        <f t="shared" si="0"/>
        <v>0–500</v>
      </c>
      <c r="H18" s="1">
        <v>1715.8</v>
      </c>
      <c r="I18" t="str">
        <f t="shared" si="1"/>
        <v>1501–2000</v>
      </c>
      <c r="J18" t="s">
        <v>14</v>
      </c>
      <c r="K18" t="str">
        <f>IF(logistics_classification_dataset__1[[#This Row],[Customer_Segment]]="Bireysel","Individual",IF(logistics_classification_dataset__1[[#This Row],[Customer_Segment]]="Kurumsal","Corporate"))</f>
        <v>Corporate</v>
      </c>
      <c r="L18">
        <v>1</v>
      </c>
    </row>
    <row r="19" spans="1:12" x14ac:dyDescent="0.35">
      <c r="A19">
        <v>18</v>
      </c>
      <c r="B19" t="s">
        <v>13</v>
      </c>
      <c r="C19" t="s">
        <v>8</v>
      </c>
      <c r="D19" t="s">
        <v>10</v>
      </c>
      <c r="E19" t="str">
        <f>IF(logistics_classification_dataset__1[[#This Row],[Shipment_Type]]="Kara","Road",IF(logistics_classification_dataset__1[[#This Row],[Shipment_Type]]="Hava","Air",IF(logistics_classification_dataset__1[[#This Row],[Shipment_Type]]="Deniz","Sea")))</f>
        <v>Road</v>
      </c>
      <c r="F19">
        <v>382.13</v>
      </c>
      <c r="G19" t="str">
        <f t="shared" si="0"/>
        <v>0–500</v>
      </c>
      <c r="H19" s="1">
        <v>1007</v>
      </c>
      <c r="I19" t="str">
        <f t="shared" si="1"/>
        <v>1001–1500</v>
      </c>
      <c r="J19" t="s">
        <v>11</v>
      </c>
      <c r="K19" t="str">
        <f>IF(logistics_classification_dataset__1[[#This Row],[Customer_Segment]]="Bireysel","Individual",IF(logistics_classification_dataset__1[[#This Row],[Customer_Segment]]="Kurumsal","Corporate"))</f>
        <v>Individual</v>
      </c>
      <c r="L19">
        <v>1</v>
      </c>
    </row>
    <row r="20" spans="1:12" x14ac:dyDescent="0.35">
      <c r="A20">
        <v>19</v>
      </c>
      <c r="B20" t="s">
        <v>21</v>
      </c>
      <c r="C20" t="s">
        <v>9</v>
      </c>
      <c r="D20" t="s">
        <v>15</v>
      </c>
      <c r="E20" t="str">
        <f>IF(logistics_classification_dataset__1[[#This Row],[Shipment_Type]]="Kara","Road",IF(logistics_classification_dataset__1[[#This Row],[Shipment_Type]]="Hava","Air",IF(logistics_classification_dataset__1[[#This Row],[Shipment_Type]]="Deniz","Sea")))</f>
        <v>Air</v>
      </c>
      <c r="F20">
        <v>1567.12</v>
      </c>
      <c r="G20" t="str">
        <f t="shared" si="0"/>
        <v>1501–2000</v>
      </c>
      <c r="H20" s="1">
        <v>842.8</v>
      </c>
      <c r="I20" t="str">
        <f t="shared" si="1"/>
        <v>501–1000</v>
      </c>
      <c r="J20" t="s">
        <v>14</v>
      </c>
      <c r="K20" t="str">
        <f>IF(logistics_classification_dataset__1[[#This Row],[Customer_Segment]]="Bireysel","Individual",IF(logistics_classification_dataset__1[[#This Row],[Customer_Segment]]="Kurumsal","Corporate"))</f>
        <v>Corporate</v>
      </c>
      <c r="L20">
        <v>1</v>
      </c>
    </row>
    <row r="21" spans="1:12" x14ac:dyDescent="0.35">
      <c r="A21">
        <v>20</v>
      </c>
      <c r="B21" t="s">
        <v>22</v>
      </c>
      <c r="C21" t="s">
        <v>16</v>
      </c>
      <c r="D21" t="s">
        <v>15</v>
      </c>
      <c r="E21" t="str">
        <f>IF(logistics_classification_dataset__1[[#This Row],[Shipment_Type]]="Kara","Road",IF(logistics_classification_dataset__1[[#This Row],[Shipment_Type]]="Hava","Air",IF(logistics_classification_dataset__1[[#This Row],[Shipment_Type]]="Deniz","Sea")))</f>
        <v>Air</v>
      </c>
      <c r="F21">
        <v>143.15</v>
      </c>
      <c r="G21" t="str">
        <f t="shared" si="0"/>
        <v>0–500</v>
      </c>
      <c r="H21" s="1">
        <v>1811.2</v>
      </c>
      <c r="I21" t="str">
        <f t="shared" si="1"/>
        <v>1501–2000</v>
      </c>
      <c r="J21" t="s">
        <v>11</v>
      </c>
      <c r="K21" t="str">
        <f>IF(logistics_classification_dataset__1[[#This Row],[Customer_Segment]]="Bireysel","Individual",IF(logistics_classification_dataset__1[[#This Row],[Customer_Segment]]="Kurumsal","Corporate"))</f>
        <v>Individual</v>
      </c>
      <c r="L21">
        <v>1</v>
      </c>
    </row>
    <row r="22" spans="1:12" x14ac:dyDescent="0.35">
      <c r="A22">
        <v>21</v>
      </c>
      <c r="B22" t="s">
        <v>16</v>
      </c>
      <c r="C22" t="s">
        <v>17</v>
      </c>
      <c r="D22" t="s">
        <v>10</v>
      </c>
      <c r="E22" t="str">
        <f>IF(logistics_classification_dataset__1[[#This Row],[Shipment_Type]]="Kara","Road",IF(logistics_classification_dataset__1[[#This Row],[Shipment_Type]]="Hava","Air",IF(logistics_classification_dataset__1[[#This Row],[Shipment_Type]]="Deniz","Sea")))</f>
        <v>Road</v>
      </c>
      <c r="F22">
        <v>118.9</v>
      </c>
      <c r="G22" t="str">
        <f t="shared" si="0"/>
        <v>0–500</v>
      </c>
      <c r="H22" s="1">
        <v>1227.5</v>
      </c>
      <c r="I22" t="str">
        <f t="shared" si="1"/>
        <v>1001–1500</v>
      </c>
      <c r="J22" t="s">
        <v>11</v>
      </c>
      <c r="K22" t="str">
        <f>IF(logistics_classification_dataset__1[[#This Row],[Customer_Segment]]="Bireysel","Individual",IF(logistics_classification_dataset__1[[#This Row],[Customer_Segment]]="Kurumsal","Corporate"))</f>
        <v>Individual</v>
      </c>
      <c r="L22">
        <v>0</v>
      </c>
    </row>
    <row r="23" spans="1:12" x14ac:dyDescent="0.35">
      <c r="A23">
        <v>22</v>
      </c>
      <c r="B23" t="s">
        <v>9</v>
      </c>
      <c r="C23" t="s">
        <v>17</v>
      </c>
      <c r="D23" t="s">
        <v>15</v>
      </c>
      <c r="E23" t="str">
        <f>IF(logistics_classification_dataset__1[[#This Row],[Shipment_Type]]="Kara","Road",IF(logistics_classification_dataset__1[[#This Row],[Shipment_Type]]="Hava","Air",IF(logistics_classification_dataset__1[[#This Row],[Shipment_Type]]="Deniz","Sea")))</f>
        <v>Air</v>
      </c>
      <c r="F23">
        <v>1791.97</v>
      </c>
      <c r="G23" t="str">
        <f t="shared" si="0"/>
        <v>1501–2000</v>
      </c>
      <c r="H23" s="1">
        <v>1174.4000000000001</v>
      </c>
      <c r="I23" t="str">
        <f t="shared" si="1"/>
        <v>1001–1500</v>
      </c>
      <c r="J23" t="s">
        <v>11</v>
      </c>
      <c r="K23" t="str">
        <f>IF(logistics_classification_dataset__1[[#This Row],[Customer_Segment]]="Bireysel","Individual",IF(logistics_classification_dataset__1[[#This Row],[Customer_Segment]]="Kurumsal","Corporate"))</f>
        <v>Individual</v>
      </c>
      <c r="L23">
        <v>0</v>
      </c>
    </row>
    <row r="24" spans="1:12" x14ac:dyDescent="0.35">
      <c r="A24">
        <v>23</v>
      </c>
      <c r="B24" t="s">
        <v>17</v>
      </c>
      <c r="C24" t="s">
        <v>12</v>
      </c>
      <c r="D24" t="s">
        <v>10</v>
      </c>
      <c r="E24" t="str">
        <f>IF(logistics_classification_dataset__1[[#This Row],[Shipment_Type]]="Kara","Road",IF(logistics_classification_dataset__1[[#This Row],[Shipment_Type]]="Hava","Air",IF(logistics_classification_dataset__1[[#This Row],[Shipment_Type]]="Deniz","Sea")))</f>
        <v>Road</v>
      </c>
      <c r="F24">
        <v>1168.6199999999999</v>
      </c>
      <c r="G24" t="str">
        <f t="shared" si="0"/>
        <v>1001–1500</v>
      </c>
      <c r="H24" s="1">
        <v>1139.5999999999999</v>
      </c>
      <c r="I24" t="str">
        <f t="shared" si="1"/>
        <v>1001–1500</v>
      </c>
      <c r="J24" t="s">
        <v>11</v>
      </c>
      <c r="K24" t="str">
        <f>IF(logistics_classification_dataset__1[[#This Row],[Customer_Segment]]="Bireysel","Individual",IF(logistics_classification_dataset__1[[#This Row],[Customer_Segment]]="Kurumsal","Corporate"))</f>
        <v>Individual</v>
      </c>
      <c r="L24">
        <v>1</v>
      </c>
    </row>
    <row r="25" spans="1:12" x14ac:dyDescent="0.35">
      <c r="A25">
        <v>24</v>
      </c>
      <c r="B25" t="s">
        <v>21</v>
      </c>
      <c r="C25" t="s">
        <v>20</v>
      </c>
      <c r="D25" t="s">
        <v>10</v>
      </c>
      <c r="E25" t="str">
        <f>IF(logistics_classification_dataset__1[[#This Row],[Shipment_Type]]="Kara","Road",IF(logistics_classification_dataset__1[[#This Row],[Shipment_Type]]="Hava","Air",IF(logistics_classification_dataset__1[[#This Row],[Shipment_Type]]="Deniz","Sea")))</f>
        <v>Road</v>
      </c>
      <c r="F25">
        <v>93.66</v>
      </c>
      <c r="G25" t="str">
        <f t="shared" si="0"/>
        <v>0–500</v>
      </c>
      <c r="H25" s="1">
        <v>773.8</v>
      </c>
      <c r="I25" t="str">
        <f t="shared" si="1"/>
        <v>501–1000</v>
      </c>
      <c r="J25" t="s">
        <v>14</v>
      </c>
      <c r="K25" t="str">
        <f>IF(logistics_classification_dataset__1[[#This Row],[Customer_Segment]]="Bireysel","Individual",IF(logistics_classification_dataset__1[[#This Row],[Customer_Segment]]="Kurumsal","Corporate"))</f>
        <v>Corporate</v>
      </c>
      <c r="L25">
        <v>0</v>
      </c>
    </row>
    <row r="26" spans="1:12" x14ac:dyDescent="0.35">
      <c r="A26">
        <v>25</v>
      </c>
      <c r="B26" t="s">
        <v>20</v>
      </c>
      <c r="C26" t="s">
        <v>8</v>
      </c>
      <c r="D26" t="s">
        <v>15</v>
      </c>
      <c r="E26" t="str">
        <f>IF(logistics_classification_dataset__1[[#This Row],[Shipment_Type]]="Kara","Road",IF(logistics_classification_dataset__1[[#This Row],[Shipment_Type]]="Hava","Air",IF(logistics_classification_dataset__1[[#This Row],[Shipment_Type]]="Deniz","Sea")))</f>
        <v>Air</v>
      </c>
      <c r="F26">
        <v>684.04</v>
      </c>
      <c r="G26" t="str">
        <f t="shared" si="0"/>
        <v>501–1000</v>
      </c>
      <c r="H26" s="1">
        <v>1582</v>
      </c>
      <c r="I26" t="str">
        <f t="shared" si="1"/>
        <v>1501–2000</v>
      </c>
      <c r="J26" t="s">
        <v>14</v>
      </c>
      <c r="K26" t="str">
        <f>IF(logistics_classification_dataset__1[[#This Row],[Customer_Segment]]="Bireysel","Individual",IF(logistics_classification_dataset__1[[#This Row],[Customer_Segment]]="Kurumsal","Corporate"))</f>
        <v>Corporate</v>
      </c>
      <c r="L26">
        <v>1</v>
      </c>
    </row>
    <row r="27" spans="1:12" x14ac:dyDescent="0.35">
      <c r="A27">
        <v>26</v>
      </c>
      <c r="B27" t="s">
        <v>9</v>
      </c>
      <c r="C27" t="s">
        <v>20</v>
      </c>
      <c r="D27" t="s">
        <v>10</v>
      </c>
      <c r="E27" t="str">
        <f>IF(logistics_classification_dataset__1[[#This Row],[Shipment_Type]]="Kara","Road",IF(logistics_classification_dataset__1[[#This Row],[Shipment_Type]]="Hava","Air",IF(logistics_classification_dataset__1[[#This Row],[Shipment_Type]]="Deniz","Sea")))</f>
        <v>Road</v>
      </c>
      <c r="F27">
        <v>1881.19</v>
      </c>
      <c r="G27" t="str">
        <f t="shared" si="0"/>
        <v>1501–2000</v>
      </c>
      <c r="H27" s="1">
        <v>543</v>
      </c>
      <c r="I27" t="str">
        <f t="shared" si="1"/>
        <v>501–1000</v>
      </c>
      <c r="J27" t="s">
        <v>11</v>
      </c>
      <c r="K27" t="str">
        <f>IF(logistics_classification_dataset__1[[#This Row],[Customer_Segment]]="Bireysel","Individual",IF(logistics_classification_dataset__1[[#This Row],[Customer_Segment]]="Kurumsal","Corporate"))</f>
        <v>Individual</v>
      </c>
      <c r="L27">
        <v>1</v>
      </c>
    </row>
    <row r="28" spans="1:12" x14ac:dyDescent="0.35">
      <c r="A28">
        <v>27</v>
      </c>
      <c r="B28" t="s">
        <v>17</v>
      </c>
      <c r="C28" t="s">
        <v>9</v>
      </c>
      <c r="D28" t="s">
        <v>10</v>
      </c>
      <c r="E28" t="str">
        <f>IF(logistics_classification_dataset__1[[#This Row],[Shipment_Type]]="Kara","Road",IF(logistics_classification_dataset__1[[#This Row],[Shipment_Type]]="Hava","Air",IF(logistics_classification_dataset__1[[#This Row],[Shipment_Type]]="Deniz","Sea")))</f>
        <v>Road</v>
      </c>
      <c r="F28">
        <v>170.02</v>
      </c>
      <c r="G28" t="str">
        <f t="shared" si="0"/>
        <v>0–500</v>
      </c>
      <c r="H28" s="1">
        <v>1880.8</v>
      </c>
      <c r="I28" t="str">
        <f t="shared" si="1"/>
        <v>1501–2000</v>
      </c>
      <c r="J28" t="s">
        <v>14</v>
      </c>
      <c r="K28" t="str">
        <f>IF(logistics_classification_dataset__1[[#This Row],[Customer_Segment]]="Bireysel","Individual",IF(logistics_classification_dataset__1[[#This Row],[Customer_Segment]]="Kurumsal","Corporate"))</f>
        <v>Corporate</v>
      </c>
      <c r="L28">
        <v>1</v>
      </c>
    </row>
    <row r="29" spans="1:12" x14ac:dyDescent="0.35">
      <c r="A29">
        <v>28</v>
      </c>
      <c r="B29" t="s">
        <v>18</v>
      </c>
      <c r="C29" t="s">
        <v>21</v>
      </c>
      <c r="D29" t="s">
        <v>10</v>
      </c>
      <c r="E29" t="str">
        <f>IF(logistics_classification_dataset__1[[#This Row],[Shipment_Type]]="Kara","Road",IF(logistics_classification_dataset__1[[#This Row],[Shipment_Type]]="Hava","Air",IF(logistics_classification_dataset__1[[#This Row],[Shipment_Type]]="Deniz","Sea")))</f>
        <v>Road</v>
      </c>
      <c r="F29">
        <v>1862.12</v>
      </c>
      <c r="G29" t="str">
        <f t="shared" si="0"/>
        <v>1501–2000</v>
      </c>
      <c r="H29" s="1">
        <v>1793.3</v>
      </c>
      <c r="I29" t="str">
        <f t="shared" si="1"/>
        <v>1501–2000</v>
      </c>
      <c r="J29" t="s">
        <v>11</v>
      </c>
      <c r="K29" t="str">
        <f>IF(logistics_classification_dataset__1[[#This Row],[Customer_Segment]]="Bireysel","Individual",IF(logistics_classification_dataset__1[[#This Row],[Customer_Segment]]="Kurumsal","Corporate"))</f>
        <v>Individual</v>
      </c>
      <c r="L29">
        <v>1</v>
      </c>
    </row>
    <row r="30" spans="1:12" x14ac:dyDescent="0.35">
      <c r="A30">
        <v>29</v>
      </c>
      <c r="B30" t="s">
        <v>8</v>
      </c>
      <c r="C30" t="s">
        <v>13</v>
      </c>
      <c r="D30" t="s">
        <v>10</v>
      </c>
      <c r="E30" t="str">
        <f>IF(logistics_classification_dataset__1[[#This Row],[Shipment_Type]]="Kara","Road",IF(logistics_classification_dataset__1[[#This Row],[Shipment_Type]]="Hava","Air",IF(logistics_classification_dataset__1[[#This Row],[Shipment_Type]]="Deniz","Sea")))</f>
        <v>Road</v>
      </c>
      <c r="F30">
        <v>165.43</v>
      </c>
      <c r="G30" t="str">
        <f t="shared" si="0"/>
        <v>0–500</v>
      </c>
      <c r="H30" s="1">
        <v>708.1</v>
      </c>
      <c r="I30" t="str">
        <f t="shared" si="1"/>
        <v>501–1000</v>
      </c>
      <c r="J30" t="s">
        <v>11</v>
      </c>
      <c r="K30" t="str">
        <f>IF(logistics_classification_dataset__1[[#This Row],[Customer_Segment]]="Bireysel","Individual",IF(logistics_classification_dataset__1[[#This Row],[Customer_Segment]]="Kurumsal","Corporate"))</f>
        <v>Individual</v>
      </c>
      <c r="L30">
        <v>0</v>
      </c>
    </row>
    <row r="31" spans="1:12" x14ac:dyDescent="0.35">
      <c r="A31">
        <v>30</v>
      </c>
      <c r="B31" t="s">
        <v>12</v>
      </c>
      <c r="C31" t="s">
        <v>18</v>
      </c>
      <c r="D31" t="s">
        <v>10</v>
      </c>
      <c r="E31" t="str">
        <f>IF(logistics_classification_dataset__1[[#This Row],[Shipment_Type]]="Kara","Road",IF(logistics_classification_dataset__1[[#This Row],[Shipment_Type]]="Hava","Air",IF(logistics_classification_dataset__1[[#This Row],[Shipment_Type]]="Deniz","Sea")))</f>
        <v>Road</v>
      </c>
      <c r="F31">
        <v>264.20999999999998</v>
      </c>
      <c r="G31" t="str">
        <f t="shared" si="0"/>
        <v>0–500</v>
      </c>
      <c r="H31" s="1">
        <v>1472.5</v>
      </c>
      <c r="I31" t="str">
        <f t="shared" si="1"/>
        <v>1001–1500</v>
      </c>
      <c r="J31" t="s">
        <v>11</v>
      </c>
      <c r="K31" t="str">
        <f>IF(logistics_classification_dataset__1[[#This Row],[Customer_Segment]]="Bireysel","Individual",IF(logistics_classification_dataset__1[[#This Row],[Customer_Segment]]="Kurumsal","Corporate"))</f>
        <v>Individual</v>
      </c>
      <c r="L31">
        <v>1</v>
      </c>
    </row>
    <row r="32" spans="1:12" x14ac:dyDescent="0.35">
      <c r="A32">
        <v>31</v>
      </c>
      <c r="B32" t="s">
        <v>20</v>
      </c>
      <c r="C32" t="s">
        <v>13</v>
      </c>
      <c r="D32" t="s">
        <v>10</v>
      </c>
      <c r="E32" t="str">
        <f>IF(logistics_classification_dataset__1[[#This Row],[Shipment_Type]]="Kara","Road",IF(logistics_classification_dataset__1[[#This Row],[Shipment_Type]]="Hava","Air",IF(logistics_classification_dataset__1[[#This Row],[Shipment_Type]]="Deniz","Sea")))</f>
        <v>Road</v>
      </c>
      <c r="F32">
        <v>1132.1400000000001</v>
      </c>
      <c r="G32" t="str">
        <f t="shared" si="0"/>
        <v>1001–1500</v>
      </c>
      <c r="H32" s="1">
        <v>1167.8</v>
      </c>
      <c r="I32" t="str">
        <f t="shared" si="1"/>
        <v>1001–1500</v>
      </c>
      <c r="J32" t="s">
        <v>11</v>
      </c>
      <c r="K32" t="str">
        <f>IF(logistics_classification_dataset__1[[#This Row],[Customer_Segment]]="Bireysel","Individual",IF(logistics_classification_dataset__1[[#This Row],[Customer_Segment]]="Kurumsal","Corporate"))</f>
        <v>Individual</v>
      </c>
      <c r="L32">
        <v>1</v>
      </c>
    </row>
    <row r="33" spans="1:12" x14ac:dyDescent="0.35">
      <c r="A33">
        <v>32</v>
      </c>
      <c r="B33" t="s">
        <v>18</v>
      </c>
      <c r="C33" t="s">
        <v>16</v>
      </c>
      <c r="D33" t="s">
        <v>19</v>
      </c>
      <c r="E33" t="str">
        <f>IF(logistics_classification_dataset__1[[#This Row],[Shipment_Type]]="Kara","Road",IF(logistics_classification_dataset__1[[#This Row],[Shipment_Type]]="Hava","Air",IF(logistics_classification_dataset__1[[#This Row],[Shipment_Type]]="Deniz","Sea")))</f>
        <v>Sea</v>
      </c>
      <c r="F33">
        <v>1733.76</v>
      </c>
      <c r="G33" t="str">
        <f t="shared" si="0"/>
        <v>1501–2000</v>
      </c>
      <c r="H33" s="1">
        <v>708.4</v>
      </c>
      <c r="I33" t="str">
        <f t="shared" si="1"/>
        <v>501–1000</v>
      </c>
      <c r="J33" t="s">
        <v>14</v>
      </c>
      <c r="K33" t="str">
        <f>IF(logistics_classification_dataset__1[[#This Row],[Customer_Segment]]="Bireysel","Individual",IF(logistics_classification_dataset__1[[#This Row],[Customer_Segment]]="Kurumsal","Corporate"))</f>
        <v>Corporate</v>
      </c>
      <c r="L33">
        <v>1</v>
      </c>
    </row>
    <row r="34" spans="1:12" x14ac:dyDescent="0.35">
      <c r="A34">
        <v>33</v>
      </c>
      <c r="B34" t="s">
        <v>16</v>
      </c>
      <c r="C34" t="s">
        <v>20</v>
      </c>
      <c r="D34" t="s">
        <v>10</v>
      </c>
      <c r="E34" t="str">
        <f>IF(logistics_classification_dataset__1[[#This Row],[Shipment_Type]]="Kara","Road",IF(logistics_classification_dataset__1[[#This Row],[Shipment_Type]]="Hava","Air",IF(logistics_classification_dataset__1[[#This Row],[Shipment_Type]]="Deniz","Sea")))</f>
        <v>Road</v>
      </c>
      <c r="F34">
        <v>1145.76</v>
      </c>
      <c r="G34" t="str">
        <f t="shared" si="0"/>
        <v>1001–1500</v>
      </c>
      <c r="H34" s="1">
        <v>1977.6</v>
      </c>
      <c r="I34" t="str">
        <f t="shared" si="1"/>
        <v>1501–2000</v>
      </c>
      <c r="J34" t="s">
        <v>14</v>
      </c>
      <c r="K34" t="str">
        <f>IF(logistics_classification_dataset__1[[#This Row],[Customer_Segment]]="Bireysel","Individual",IF(logistics_classification_dataset__1[[#This Row],[Customer_Segment]]="Kurumsal","Corporate"))</f>
        <v>Corporate</v>
      </c>
      <c r="L34">
        <v>1</v>
      </c>
    </row>
    <row r="35" spans="1:12" x14ac:dyDescent="0.35">
      <c r="A35">
        <v>34</v>
      </c>
      <c r="B35" t="s">
        <v>18</v>
      </c>
      <c r="C35" t="s">
        <v>16</v>
      </c>
      <c r="D35" t="s">
        <v>10</v>
      </c>
      <c r="E35" t="str">
        <f>IF(logistics_classification_dataset__1[[#This Row],[Shipment_Type]]="Kara","Road",IF(logistics_classification_dataset__1[[#This Row],[Shipment_Type]]="Hava","Air",IF(logistics_classification_dataset__1[[#This Row],[Shipment_Type]]="Deniz","Sea")))</f>
        <v>Road</v>
      </c>
      <c r="F35">
        <v>1814.86</v>
      </c>
      <c r="G35" t="str">
        <f t="shared" si="0"/>
        <v>1501–2000</v>
      </c>
      <c r="H35" s="1">
        <v>99.2</v>
      </c>
      <c r="I35" t="str">
        <f t="shared" si="1"/>
        <v>0–500</v>
      </c>
      <c r="J35" t="s">
        <v>14</v>
      </c>
      <c r="K35" t="str">
        <f>IF(logistics_classification_dataset__1[[#This Row],[Customer_Segment]]="Bireysel","Individual",IF(logistics_classification_dataset__1[[#This Row],[Customer_Segment]]="Kurumsal","Corporate"))</f>
        <v>Corporate</v>
      </c>
      <c r="L35">
        <v>1</v>
      </c>
    </row>
    <row r="36" spans="1:12" x14ac:dyDescent="0.35">
      <c r="A36">
        <v>35</v>
      </c>
      <c r="B36" t="s">
        <v>8</v>
      </c>
      <c r="C36" t="s">
        <v>20</v>
      </c>
      <c r="D36" t="s">
        <v>10</v>
      </c>
      <c r="E36" t="str">
        <f>IF(logistics_classification_dataset__1[[#This Row],[Shipment_Type]]="Kara","Road",IF(logistics_classification_dataset__1[[#This Row],[Shipment_Type]]="Hava","Air",IF(logistics_classification_dataset__1[[#This Row],[Shipment_Type]]="Deniz","Sea")))</f>
        <v>Road</v>
      </c>
      <c r="F36">
        <v>1886.25</v>
      </c>
      <c r="G36" t="str">
        <f t="shared" si="0"/>
        <v>1501–2000</v>
      </c>
      <c r="H36" s="1">
        <v>542.70000000000005</v>
      </c>
      <c r="I36" t="str">
        <f t="shared" si="1"/>
        <v>501–1000</v>
      </c>
      <c r="J36" t="s">
        <v>11</v>
      </c>
      <c r="K36" t="str">
        <f>IF(logistics_classification_dataset__1[[#This Row],[Customer_Segment]]="Bireysel","Individual",IF(logistics_classification_dataset__1[[#This Row],[Customer_Segment]]="Kurumsal","Corporate"))</f>
        <v>Individual</v>
      </c>
      <c r="L36">
        <v>1</v>
      </c>
    </row>
    <row r="37" spans="1:12" x14ac:dyDescent="0.35">
      <c r="A37">
        <v>36</v>
      </c>
      <c r="B37" t="s">
        <v>16</v>
      </c>
      <c r="C37" t="s">
        <v>17</v>
      </c>
      <c r="D37" t="s">
        <v>10</v>
      </c>
      <c r="E37" t="str">
        <f>IF(logistics_classification_dataset__1[[#This Row],[Shipment_Type]]="Kara","Road",IF(logistics_classification_dataset__1[[#This Row],[Shipment_Type]]="Hava","Air",IF(logistics_classification_dataset__1[[#This Row],[Shipment_Type]]="Deniz","Sea")))</f>
        <v>Road</v>
      </c>
      <c r="F37">
        <v>847.66</v>
      </c>
      <c r="G37" t="str">
        <f t="shared" si="0"/>
        <v>501–1000</v>
      </c>
      <c r="H37" s="1">
        <v>1064.0999999999999</v>
      </c>
      <c r="I37" t="str">
        <f t="shared" si="1"/>
        <v>1001–1500</v>
      </c>
      <c r="J37" t="s">
        <v>14</v>
      </c>
      <c r="K37" t="str">
        <f>IF(logistics_classification_dataset__1[[#This Row],[Customer_Segment]]="Bireysel","Individual",IF(logistics_classification_dataset__1[[#This Row],[Customer_Segment]]="Kurumsal","Corporate"))</f>
        <v>Corporate</v>
      </c>
      <c r="L37">
        <v>1</v>
      </c>
    </row>
    <row r="38" spans="1:12" x14ac:dyDescent="0.35">
      <c r="A38">
        <v>37</v>
      </c>
      <c r="B38" t="s">
        <v>20</v>
      </c>
      <c r="C38" t="s">
        <v>12</v>
      </c>
      <c r="D38" t="s">
        <v>19</v>
      </c>
      <c r="E38" t="str">
        <f>IF(logistics_classification_dataset__1[[#This Row],[Shipment_Type]]="Kara","Road",IF(logistics_classification_dataset__1[[#This Row],[Shipment_Type]]="Hava","Air",IF(logistics_classification_dataset__1[[#This Row],[Shipment_Type]]="Deniz","Sea")))</f>
        <v>Sea</v>
      </c>
      <c r="F38">
        <v>757.74</v>
      </c>
      <c r="G38" t="str">
        <f t="shared" si="0"/>
        <v>501–1000</v>
      </c>
      <c r="H38" s="1">
        <v>1067.8</v>
      </c>
      <c r="I38" t="str">
        <f t="shared" si="1"/>
        <v>1001–1500</v>
      </c>
      <c r="J38" t="s">
        <v>11</v>
      </c>
      <c r="K38" t="str">
        <f>IF(logistics_classification_dataset__1[[#This Row],[Customer_Segment]]="Bireysel","Individual",IF(logistics_classification_dataset__1[[#This Row],[Customer_Segment]]="Kurumsal","Corporate"))</f>
        <v>Individual</v>
      </c>
      <c r="L38">
        <v>1</v>
      </c>
    </row>
    <row r="39" spans="1:12" x14ac:dyDescent="0.35">
      <c r="A39">
        <v>38</v>
      </c>
      <c r="B39" t="s">
        <v>8</v>
      </c>
      <c r="C39" t="s">
        <v>20</v>
      </c>
      <c r="D39" t="s">
        <v>15</v>
      </c>
      <c r="E39" t="str">
        <f>IF(logistics_classification_dataset__1[[#This Row],[Shipment_Type]]="Kara","Road",IF(logistics_classification_dataset__1[[#This Row],[Shipment_Type]]="Hava","Air",IF(logistics_classification_dataset__1[[#This Row],[Shipment_Type]]="Deniz","Sea")))</f>
        <v>Air</v>
      </c>
      <c r="F39">
        <v>1872.96</v>
      </c>
      <c r="G39" t="str">
        <f t="shared" si="0"/>
        <v>1501–2000</v>
      </c>
      <c r="H39" s="1">
        <v>1198.4000000000001</v>
      </c>
      <c r="I39" t="str">
        <f t="shared" si="1"/>
        <v>1001–1500</v>
      </c>
      <c r="J39" t="s">
        <v>14</v>
      </c>
      <c r="K39" t="str">
        <f>IF(logistics_classification_dataset__1[[#This Row],[Customer_Segment]]="Bireysel","Individual",IF(logistics_classification_dataset__1[[#This Row],[Customer_Segment]]="Kurumsal","Corporate"))</f>
        <v>Corporate</v>
      </c>
      <c r="L39">
        <v>1</v>
      </c>
    </row>
    <row r="40" spans="1:12" x14ac:dyDescent="0.35">
      <c r="A40">
        <v>39</v>
      </c>
      <c r="B40" t="s">
        <v>22</v>
      </c>
      <c r="C40" t="s">
        <v>16</v>
      </c>
      <c r="D40" t="s">
        <v>15</v>
      </c>
      <c r="E40" t="str">
        <f>IF(logistics_classification_dataset__1[[#This Row],[Shipment_Type]]="Kara","Road",IF(logistics_classification_dataset__1[[#This Row],[Shipment_Type]]="Hava","Air",IF(logistics_classification_dataset__1[[#This Row],[Shipment_Type]]="Deniz","Sea")))</f>
        <v>Air</v>
      </c>
      <c r="F40">
        <v>135.19</v>
      </c>
      <c r="G40" t="str">
        <f t="shared" si="0"/>
        <v>0–500</v>
      </c>
      <c r="H40" s="1">
        <v>1515.8</v>
      </c>
      <c r="I40" t="str">
        <f t="shared" si="1"/>
        <v>1501–2000</v>
      </c>
      <c r="J40" t="s">
        <v>11</v>
      </c>
      <c r="K40" t="str">
        <f>IF(logistics_classification_dataset__1[[#This Row],[Customer_Segment]]="Bireysel","Individual",IF(logistics_classification_dataset__1[[#This Row],[Customer_Segment]]="Kurumsal","Corporate"))</f>
        <v>Individual</v>
      </c>
      <c r="L40">
        <v>1</v>
      </c>
    </row>
    <row r="41" spans="1:12" x14ac:dyDescent="0.35">
      <c r="A41">
        <v>40</v>
      </c>
      <c r="B41" t="s">
        <v>12</v>
      </c>
      <c r="C41" t="s">
        <v>17</v>
      </c>
      <c r="D41" t="s">
        <v>10</v>
      </c>
      <c r="E41" t="str">
        <f>IF(logistics_classification_dataset__1[[#This Row],[Shipment_Type]]="Kara","Road",IF(logistics_classification_dataset__1[[#This Row],[Shipment_Type]]="Hava","Air",IF(logistics_classification_dataset__1[[#This Row],[Shipment_Type]]="Deniz","Sea")))</f>
        <v>Road</v>
      </c>
      <c r="F41">
        <v>236.47</v>
      </c>
      <c r="G41" t="str">
        <f t="shared" si="0"/>
        <v>0–500</v>
      </c>
      <c r="H41" s="1">
        <v>1265.8</v>
      </c>
      <c r="I41" t="str">
        <f t="shared" si="1"/>
        <v>1001–1500</v>
      </c>
      <c r="J41" t="s">
        <v>11</v>
      </c>
      <c r="K41" t="str">
        <f>IF(logistics_classification_dataset__1[[#This Row],[Customer_Segment]]="Bireysel","Individual",IF(logistics_classification_dataset__1[[#This Row],[Customer_Segment]]="Kurumsal","Corporate"))</f>
        <v>Individual</v>
      </c>
      <c r="L41">
        <v>1</v>
      </c>
    </row>
    <row r="42" spans="1:12" x14ac:dyDescent="0.35">
      <c r="A42">
        <v>41</v>
      </c>
      <c r="B42" t="s">
        <v>20</v>
      </c>
      <c r="C42" t="s">
        <v>18</v>
      </c>
      <c r="D42" t="s">
        <v>10</v>
      </c>
      <c r="E42" t="str">
        <f>IF(logistics_classification_dataset__1[[#This Row],[Shipment_Type]]="Kara","Road",IF(logistics_classification_dataset__1[[#This Row],[Shipment_Type]]="Hava","Air",IF(logistics_classification_dataset__1[[#This Row],[Shipment_Type]]="Deniz","Sea")))</f>
        <v>Road</v>
      </c>
      <c r="F42">
        <v>89.37</v>
      </c>
      <c r="G42" t="str">
        <f t="shared" si="0"/>
        <v>0–500</v>
      </c>
      <c r="H42" s="1">
        <v>1220.5</v>
      </c>
      <c r="I42" t="str">
        <f t="shared" si="1"/>
        <v>1001–1500</v>
      </c>
      <c r="J42" t="s">
        <v>11</v>
      </c>
      <c r="K42" t="str">
        <f>IF(logistics_classification_dataset__1[[#This Row],[Customer_Segment]]="Bireysel","Individual",IF(logistics_classification_dataset__1[[#This Row],[Customer_Segment]]="Kurumsal","Corporate"))</f>
        <v>Individual</v>
      </c>
      <c r="L42">
        <v>1</v>
      </c>
    </row>
    <row r="43" spans="1:12" x14ac:dyDescent="0.35">
      <c r="A43">
        <v>42</v>
      </c>
      <c r="B43" t="s">
        <v>22</v>
      </c>
      <c r="C43" t="s">
        <v>18</v>
      </c>
      <c r="D43" t="s">
        <v>10</v>
      </c>
      <c r="E43" t="str">
        <f>IF(logistics_classification_dataset__1[[#This Row],[Shipment_Type]]="Kara","Road",IF(logistics_classification_dataset__1[[#This Row],[Shipment_Type]]="Hava","Air",IF(logistics_classification_dataset__1[[#This Row],[Shipment_Type]]="Deniz","Sea")))</f>
        <v>Road</v>
      </c>
      <c r="F43">
        <v>1131.43</v>
      </c>
      <c r="G43" t="str">
        <f t="shared" si="0"/>
        <v>1001–1500</v>
      </c>
      <c r="H43" s="1">
        <v>154.4</v>
      </c>
      <c r="I43" t="str">
        <f t="shared" si="1"/>
        <v>0–500</v>
      </c>
      <c r="J43" t="s">
        <v>11</v>
      </c>
      <c r="K43" t="str">
        <f>IF(logistics_classification_dataset__1[[#This Row],[Customer_Segment]]="Bireysel","Individual",IF(logistics_classification_dataset__1[[#This Row],[Customer_Segment]]="Kurumsal","Corporate"))</f>
        <v>Individual</v>
      </c>
      <c r="L43">
        <v>1</v>
      </c>
    </row>
    <row r="44" spans="1:12" x14ac:dyDescent="0.35">
      <c r="A44">
        <v>43</v>
      </c>
      <c r="B44" t="s">
        <v>17</v>
      </c>
      <c r="C44" t="s">
        <v>12</v>
      </c>
      <c r="D44" t="s">
        <v>15</v>
      </c>
      <c r="E44" t="str">
        <f>IF(logistics_classification_dataset__1[[#This Row],[Shipment_Type]]="Kara","Road",IF(logistics_classification_dataset__1[[#This Row],[Shipment_Type]]="Hava","Air",IF(logistics_classification_dataset__1[[#This Row],[Shipment_Type]]="Deniz","Sea")))</f>
        <v>Air</v>
      </c>
      <c r="F44">
        <v>1860.69</v>
      </c>
      <c r="G44" t="str">
        <f t="shared" si="0"/>
        <v>1501–2000</v>
      </c>
      <c r="H44" s="1">
        <v>784.2</v>
      </c>
      <c r="I44" t="str">
        <f t="shared" si="1"/>
        <v>501–1000</v>
      </c>
      <c r="J44" t="s">
        <v>11</v>
      </c>
      <c r="K44" t="str">
        <f>IF(logistics_classification_dataset__1[[#This Row],[Customer_Segment]]="Bireysel","Individual",IF(logistics_classification_dataset__1[[#This Row],[Customer_Segment]]="Kurumsal","Corporate"))</f>
        <v>Individual</v>
      </c>
      <c r="L44">
        <v>1</v>
      </c>
    </row>
    <row r="45" spans="1:12" x14ac:dyDescent="0.35">
      <c r="A45">
        <v>44</v>
      </c>
      <c r="B45" t="s">
        <v>20</v>
      </c>
      <c r="C45" t="s">
        <v>18</v>
      </c>
      <c r="D45" t="s">
        <v>10</v>
      </c>
      <c r="E45" t="str">
        <f>IF(logistics_classification_dataset__1[[#This Row],[Shipment_Type]]="Kara","Road",IF(logistics_classification_dataset__1[[#This Row],[Shipment_Type]]="Hava","Air",IF(logistics_classification_dataset__1[[#This Row],[Shipment_Type]]="Deniz","Sea")))</f>
        <v>Road</v>
      </c>
      <c r="F45">
        <v>1689.28</v>
      </c>
      <c r="G45" t="str">
        <f t="shared" si="0"/>
        <v>1501–2000</v>
      </c>
      <c r="H45" s="1">
        <v>502.5</v>
      </c>
      <c r="I45" t="str">
        <f t="shared" si="1"/>
        <v>501–1000</v>
      </c>
      <c r="J45" t="s">
        <v>11</v>
      </c>
      <c r="K45" t="str">
        <f>IF(logistics_classification_dataset__1[[#This Row],[Customer_Segment]]="Bireysel","Individual",IF(logistics_classification_dataset__1[[#This Row],[Customer_Segment]]="Kurumsal","Corporate"))</f>
        <v>Individual</v>
      </c>
      <c r="L45">
        <v>1</v>
      </c>
    </row>
    <row r="46" spans="1:12" x14ac:dyDescent="0.35">
      <c r="A46">
        <v>45</v>
      </c>
      <c r="B46" t="s">
        <v>17</v>
      </c>
      <c r="C46" t="s">
        <v>9</v>
      </c>
      <c r="D46" t="s">
        <v>10</v>
      </c>
      <c r="E46" t="str">
        <f>IF(logistics_classification_dataset__1[[#This Row],[Shipment_Type]]="Kara","Road",IF(logistics_classification_dataset__1[[#This Row],[Shipment_Type]]="Hava","Air",IF(logistics_classification_dataset__1[[#This Row],[Shipment_Type]]="Deniz","Sea")))</f>
        <v>Road</v>
      </c>
      <c r="F46">
        <v>1353.32</v>
      </c>
      <c r="G46" t="str">
        <f t="shared" si="0"/>
        <v>1001–1500</v>
      </c>
      <c r="H46" s="1">
        <v>567.5</v>
      </c>
      <c r="I46" t="str">
        <f t="shared" si="1"/>
        <v>501–1000</v>
      </c>
      <c r="J46" t="s">
        <v>11</v>
      </c>
      <c r="K46" t="str">
        <f>IF(logistics_classification_dataset__1[[#This Row],[Customer_Segment]]="Bireysel","Individual",IF(logistics_classification_dataset__1[[#This Row],[Customer_Segment]]="Kurumsal","Corporate"))</f>
        <v>Individual</v>
      </c>
      <c r="L46">
        <v>1</v>
      </c>
    </row>
    <row r="47" spans="1:12" x14ac:dyDescent="0.35">
      <c r="A47">
        <v>46</v>
      </c>
      <c r="B47" t="s">
        <v>16</v>
      </c>
      <c r="C47" t="s">
        <v>21</v>
      </c>
      <c r="D47" t="s">
        <v>19</v>
      </c>
      <c r="E47" t="str">
        <f>IF(logistics_classification_dataset__1[[#This Row],[Shipment_Type]]="Kara","Road",IF(logistics_classification_dataset__1[[#This Row],[Shipment_Type]]="Hava","Air",IF(logistics_classification_dataset__1[[#This Row],[Shipment_Type]]="Deniz","Sea")))</f>
        <v>Sea</v>
      </c>
      <c r="F47">
        <v>282.54000000000002</v>
      </c>
      <c r="G47" t="str">
        <f t="shared" si="0"/>
        <v>0–500</v>
      </c>
      <c r="H47" s="1">
        <v>1131</v>
      </c>
      <c r="I47" t="str">
        <f t="shared" si="1"/>
        <v>1001–1500</v>
      </c>
      <c r="J47" t="s">
        <v>11</v>
      </c>
      <c r="K47" t="str">
        <f>IF(logistics_classification_dataset__1[[#This Row],[Customer_Segment]]="Bireysel","Individual",IF(logistics_classification_dataset__1[[#This Row],[Customer_Segment]]="Kurumsal","Corporate"))</f>
        <v>Individual</v>
      </c>
      <c r="L47">
        <v>0</v>
      </c>
    </row>
    <row r="48" spans="1:12" x14ac:dyDescent="0.35">
      <c r="A48">
        <v>47</v>
      </c>
      <c r="B48" t="s">
        <v>22</v>
      </c>
      <c r="C48" t="s">
        <v>18</v>
      </c>
      <c r="D48" t="s">
        <v>10</v>
      </c>
      <c r="E48" t="str">
        <f>IF(logistics_classification_dataset__1[[#This Row],[Shipment_Type]]="Kara","Road",IF(logistics_classification_dataset__1[[#This Row],[Shipment_Type]]="Hava","Air",IF(logistics_classification_dataset__1[[#This Row],[Shipment_Type]]="Deniz","Sea")))</f>
        <v>Road</v>
      </c>
      <c r="F48">
        <v>512.19000000000005</v>
      </c>
      <c r="G48" t="str">
        <f t="shared" si="0"/>
        <v>501–1000</v>
      </c>
      <c r="H48" s="1">
        <v>439</v>
      </c>
      <c r="I48" t="str">
        <f t="shared" si="1"/>
        <v>0–500</v>
      </c>
      <c r="J48" t="s">
        <v>11</v>
      </c>
      <c r="K48" t="str">
        <f>IF(logistics_classification_dataset__1[[#This Row],[Customer_Segment]]="Bireysel","Individual",IF(logistics_classification_dataset__1[[#This Row],[Customer_Segment]]="Kurumsal","Corporate"))</f>
        <v>Individual</v>
      </c>
      <c r="L48">
        <v>1</v>
      </c>
    </row>
    <row r="49" spans="1:12" x14ac:dyDescent="0.35">
      <c r="A49">
        <v>48</v>
      </c>
      <c r="B49" t="s">
        <v>12</v>
      </c>
      <c r="C49" t="s">
        <v>8</v>
      </c>
      <c r="D49" t="s">
        <v>10</v>
      </c>
      <c r="E49" t="str">
        <f>IF(logistics_classification_dataset__1[[#This Row],[Shipment_Type]]="Kara","Road",IF(logistics_classification_dataset__1[[#This Row],[Shipment_Type]]="Hava","Air",IF(logistics_classification_dataset__1[[#This Row],[Shipment_Type]]="Deniz","Sea")))</f>
        <v>Road</v>
      </c>
      <c r="F49">
        <v>1751.64</v>
      </c>
      <c r="G49" t="str">
        <f t="shared" si="0"/>
        <v>1501–2000</v>
      </c>
      <c r="H49" s="1">
        <v>623.20000000000005</v>
      </c>
      <c r="I49" t="str">
        <f t="shared" si="1"/>
        <v>501–1000</v>
      </c>
      <c r="J49" t="s">
        <v>11</v>
      </c>
      <c r="K49" t="str">
        <f>IF(logistics_classification_dataset__1[[#This Row],[Customer_Segment]]="Bireysel","Individual",IF(logistics_classification_dataset__1[[#This Row],[Customer_Segment]]="Kurumsal","Corporate"))</f>
        <v>Individual</v>
      </c>
      <c r="L49">
        <v>1</v>
      </c>
    </row>
    <row r="50" spans="1:12" x14ac:dyDescent="0.35">
      <c r="A50">
        <v>49</v>
      </c>
      <c r="B50" t="s">
        <v>8</v>
      </c>
      <c r="C50" t="s">
        <v>22</v>
      </c>
      <c r="D50" t="s">
        <v>10</v>
      </c>
      <c r="E50" t="str">
        <f>IF(logistics_classification_dataset__1[[#This Row],[Shipment_Type]]="Kara","Road",IF(logistics_classification_dataset__1[[#This Row],[Shipment_Type]]="Hava","Air",IF(logistics_classification_dataset__1[[#This Row],[Shipment_Type]]="Deniz","Sea")))</f>
        <v>Road</v>
      </c>
      <c r="F50">
        <v>36.97</v>
      </c>
      <c r="G50" t="str">
        <f t="shared" si="0"/>
        <v>0–500</v>
      </c>
      <c r="H50" s="1">
        <v>512.29999999999995</v>
      </c>
      <c r="I50" t="str">
        <f t="shared" si="1"/>
        <v>501–1000</v>
      </c>
      <c r="J50" t="s">
        <v>11</v>
      </c>
      <c r="K50" t="str">
        <f>IF(logistics_classification_dataset__1[[#This Row],[Customer_Segment]]="Bireysel","Individual",IF(logistics_classification_dataset__1[[#This Row],[Customer_Segment]]="Kurumsal","Corporate"))</f>
        <v>Individual</v>
      </c>
      <c r="L50">
        <v>0</v>
      </c>
    </row>
    <row r="51" spans="1:12" x14ac:dyDescent="0.35">
      <c r="A51">
        <v>50</v>
      </c>
      <c r="B51" t="s">
        <v>13</v>
      </c>
      <c r="C51" t="s">
        <v>22</v>
      </c>
      <c r="D51" t="s">
        <v>19</v>
      </c>
      <c r="E51" t="str">
        <f>IF(logistics_classification_dataset__1[[#This Row],[Shipment_Type]]="Kara","Road",IF(logistics_classification_dataset__1[[#This Row],[Shipment_Type]]="Hava","Air",IF(logistics_classification_dataset__1[[#This Row],[Shipment_Type]]="Deniz","Sea")))</f>
        <v>Sea</v>
      </c>
      <c r="F51">
        <v>560.49</v>
      </c>
      <c r="G51" t="str">
        <f t="shared" si="0"/>
        <v>501–1000</v>
      </c>
      <c r="H51" s="1">
        <v>1899.6</v>
      </c>
      <c r="I51" t="str">
        <f t="shared" si="1"/>
        <v>1501–2000</v>
      </c>
      <c r="J51" t="s">
        <v>11</v>
      </c>
      <c r="K51" t="str">
        <f>IF(logistics_classification_dataset__1[[#This Row],[Customer_Segment]]="Bireysel","Individual",IF(logistics_classification_dataset__1[[#This Row],[Customer_Segment]]="Kurumsal","Corporate"))</f>
        <v>Individual</v>
      </c>
      <c r="L51">
        <v>1</v>
      </c>
    </row>
    <row r="52" spans="1:12" x14ac:dyDescent="0.35">
      <c r="A52">
        <v>51</v>
      </c>
      <c r="B52" t="s">
        <v>18</v>
      </c>
      <c r="C52" t="s">
        <v>9</v>
      </c>
      <c r="D52" t="s">
        <v>10</v>
      </c>
      <c r="E52" t="str">
        <f>IF(logistics_classification_dataset__1[[#This Row],[Shipment_Type]]="Kara","Road",IF(logistics_classification_dataset__1[[#This Row],[Shipment_Type]]="Hava","Air",IF(logistics_classification_dataset__1[[#This Row],[Shipment_Type]]="Deniz","Sea")))</f>
        <v>Road</v>
      </c>
      <c r="F52">
        <v>263.55</v>
      </c>
      <c r="G52" t="str">
        <f t="shared" si="0"/>
        <v>0–500</v>
      </c>
      <c r="H52" s="1">
        <v>1892.1</v>
      </c>
      <c r="I52" t="str">
        <f t="shared" si="1"/>
        <v>1501–2000</v>
      </c>
      <c r="J52" t="s">
        <v>11</v>
      </c>
      <c r="K52" t="str">
        <f>IF(logistics_classification_dataset__1[[#This Row],[Customer_Segment]]="Bireysel","Individual",IF(logistics_classification_dataset__1[[#This Row],[Customer_Segment]]="Kurumsal","Corporate"))</f>
        <v>Individual</v>
      </c>
      <c r="L52">
        <v>1</v>
      </c>
    </row>
    <row r="53" spans="1:12" x14ac:dyDescent="0.35">
      <c r="A53">
        <v>52</v>
      </c>
      <c r="B53" t="s">
        <v>9</v>
      </c>
      <c r="C53" t="s">
        <v>18</v>
      </c>
      <c r="D53" t="s">
        <v>15</v>
      </c>
      <c r="E53" t="str">
        <f>IF(logistics_classification_dataset__1[[#This Row],[Shipment_Type]]="Kara","Road",IF(logistics_classification_dataset__1[[#This Row],[Shipment_Type]]="Hava","Air",IF(logistics_classification_dataset__1[[#This Row],[Shipment_Type]]="Deniz","Sea")))</f>
        <v>Air</v>
      </c>
      <c r="F53">
        <v>1353.84</v>
      </c>
      <c r="G53" t="str">
        <f t="shared" si="0"/>
        <v>1001–1500</v>
      </c>
      <c r="H53" s="1">
        <v>1239.4000000000001</v>
      </c>
      <c r="I53" t="str">
        <f t="shared" si="1"/>
        <v>1001–1500</v>
      </c>
      <c r="J53" t="s">
        <v>14</v>
      </c>
      <c r="K53" t="str">
        <f>IF(logistics_classification_dataset__1[[#This Row],[Customer_Segment]]="Bireysel","Individual",IF(logistics_classification_dataset__1[[#This Row],[Customer_Segment]]="Kurumsal","Corporate"))</f>
        <v>Corporate</v>
      </c>
      <c r="L53">
        <v>1</v>
      </c>
    </row>
    <row r="54" spans="1:12" x14ac:dyDescent="0.35">
      <c r="A54">
        <v>53</v>
      </c>
      <c r="B54" t="s">
        <v>12</v>
      </c>
      <c r="C54" t="s">
        <v>21</v>
      </c>
      <c r="D54" t="s">
        <v>15</v>
      </c>
      <c r="E54" t="str">
        <f>IF(logistics_classification_dataset__1[[#This Row],[Shipment_Type]]="Kara","Road",IF(logistics_classification_dataset__1[[#This Row],[Shipment_Type]]="Hava","Air",IF(logistics_classification_dataset__1[[#This Row],[Shipment_Type]]="Deniz","Sea")))</f>
        <v>Air</v>
      </c>
      <c r="F54">
        <v>1888.24</v>
      </c>
      <c r="G54" t="str">
        <f t="shared" si="0"/>
        <v>1501–2000</v>
      </c>
      <c r="H54" s="1">
        <v>1852.8</v>
      </c>
      <c r="I54" t="str">
        <f t="shared" si="1"/>
        <v>1501–2000</v>
      </c>
      <c r="J54" t="s">
        <v>14</v>
      </c>
      <c r="K54" t="str">
        <f>IF(logistics_classification_dataset__1[[#This Row],[Customer_Segment]]="Bireysel","Individual",IF(logistics_classification_dataset__1[[#This Row],[Customer_Segment]]="Kurumsal","Corporate"))</f>
        <v>Corporate</v>
      </c>
      <c r="L54">
        <v>1</v>
      </c>
    </row>
    <row r="55" spans="1:12" x14ac:dyDescent="0.35">
      <c r="A55">
        <v>54</v>
      </c>
      <c r="B55" t="s">
        <v>22</v>
      </c>
      <c r="C55" t="s">
        <v>13</v>
      </c>
      <c r="D55" t="s">
        <v>10</v>
      </c>
      <c r="E55" t="str">
        <f>IF(logistics_classification_dataset__1[[#This Row],[Shipment_Type]]="Kara","Road",IF(logistics_classification_dataset__1[[#This Row],[Shipment_Type]]="Hava","Air",IF(logistics_classification_dataset__1[[#This Row],[Shipment_Type]]="Deniz","Sea")))</f>
        <v>Road</v>
      </c>
      <c r="F55">
        <v>541.59</v>
      </c>
      <c r="G55" t="str">
        <f t="shared" si="0"/>
        <v>501–1000</v>
      </c>
      <c r="H55" s="1">
        <v>1582.3</v>
      </c>
      <c r="I55" t="str">
        <f t="shared" si="1"/>
        <v>1501–2000</v>
      </c>
      <c r="J55" t="s">
        <v>11</v>
      </c>
      <c r="K55" t="str">
        <f>IF(logistics_classification_dataset__1[[#This Row],[Customer_Segment]]="Bireysel","Individual",IF(logistics_classification_dataset__1[[#This Row],[Customer_Segment]]="Kurumsal","Corporate"))</f>
        <v>Individual</v>
      </c>
      <c r="L55">
        <v>1</v>
      </c>
    </row>
    <row r="56" spans="1:12" x14ac:dyDescent="0.35">
      <c r="A56">
        <v>55</v>
      </c>
      <c r="B56" t="s">
        <v>13</v>
      </c>
      <c r="C56" t="s">
        <v>20</v>
      </c>
      <c r="D56" t="s">
        <v>15</v>
      </c>
      <c r="E56" t="str">
        <f>IF(logistics_classification_dataset__1[[#This Row],[Shipment_Type]]="Kara","Road",IF(logistics_classification_dataset__1[[#This Row],[Shipment_Type]]="Hava","Air",IF(logistics_classification_dataset__1[[#This Row],[Shipment_Type]]="Deniz","Sea")))</f>
        <v>Air</v>
      </c>
      <c r="F56">
        <v>953.44</v>
      </c>
      <c r="G56" t="str">
        <f t="shared" si="0"/>
        <v>501–1000</v>
      </c>
      <c r="H56" s="1">
        <v>1200.4000000000001</v>
      </c>
      <c r="I56" t="str">
        <f t="shared" si="1"/>
        <v>1001–1500</v>
      </c>
      <c r="J56" t="s">
        <v>14</v>
      </c>
      <c r="K56" t="str">
        <f>IF(logistics_classification_dataset__1[[#This Row],[Customer_Segment]]="Bireysel","Individual",IF(logistics_classification_dataset__1[[#This Row],[Customer_Segment]]="Kurumsal","Corporate"))</f>
        <v>Corporate</v>
      </c>
      <c r="L56">
        <v>0</v>
      </c>
    </row>
    <row r="57" spans="1:12" x14ac:dyDescent="0.35">
      <c r="A57">
        <v>56</v>
      </c>
      <c r="B57" t="s">
        <v>12</v>
      </c>
      <c r="C57" t="s">
        <v>8</v>
      </c>
      <c r="D57" t="s">
        <v>10</v>
      </c>
      <c r="E57" t="str">
        <f>IF(logistics_classification_dataset__1[[#This Row],[Shipment_Type]]="Kara","Road",IF(logistics_classification_dataset__1[[#This Row],[Shipment_Type]]="Hava","Air",IF(logistics_classification_dataset__1[[#This Row],[Shipment_Type]]="Deniz","Sea")))</f>
        <v>Road</v>
      </c>
      <c r="F57">
        <v>1270.51</v>
      </c>
      <c r="G57" t="str">
        <f t="shared" si="0"/>
        <v>1001–1500</v>
      </c>
      <c r="H57" s="1">
        <v>62.5</v>
      </c>
      <c r="I57" t="str">
        <f t="shared" si="1"/>
        <v>0–500</v>
      </c>
      <c r="J57" t="s">
        <v>14</v>
      </c>
      <c r="K57" t="str">
        <f>IF(logistics_classification_dataset__1[[#This Row],[Customer_Segment]]="Bireysel","Individual",IF(logistics_classification_dataset__1[[#This Row],[Customer_Segment]]="Kurumsal","Corporate"))</f>
        <v>Corporate</v>
      </c>
      <c r="L57">
        <v>1</v>
      </c>
    </row>
    <row r="58" spans="1:12" x14ac:dyDescent="0.35">
      <c r="A58">
        <v>57</v>
      </c>
      <c r="B58" t="s">
        <v>22</v>
      </c>
      <c r="C58" t="s">
        <v>12</v>
      </c>
      <c r="D58" t="s">
        <v>10</v>
      </c>
      <c r="E58" t="str">
        <f>IF(logistics_classification_dataset__1[[#This Row],[Shipment_Type]]="Kara","Road",IF(logistics_classification_dataset__1[[#This Row],[Shipment_Type]]="Hava","Air",IF(logistics_classification_dataset__1[[#This Row],[Shipment_Type]]="Deniz","Sea")))</f>
        <v>Road</v>
      </c>
      <c r="F58">
        <v>1998.94</v>
      </c>
      <c r="G58" t="str">
        <f t="shared" si="0"/>
        <v>1501–2000</v>
      </c>
      <c r="H58" s="1">
        <v>1556.4</v>
      </c>
      <c r="I58" t="str">
        <f t="shared" si="1"/>
        <v>1501–2000</v>
      </c>
      <c r="J58" t="s">
        <v>14</v>
      </c>
      <c r="K58" t="str">
        <f>IF(logistics_classification_dataset__1[[#This Row],[Customer_Segment]]="Bireysel","Individual",IF(logistics_classification_dataset__1[[#This Row],[Customer_Segment]]="Kurumsal","Corporate"))</f>
        <v>Corporate</v>
      </c>
      <c r="L58">
        <v>1</v>
      </c>
    </row>
    <row r="59" spans="1:12" x14ac:dyDescent="0.35">
      <c r="A59">
        <v>58</v>
      </c>
      <c r="B59" t="s">
        <v>21</v>
      </c>
      <c r="C59" t="s">
        <v>9</v>
      </c>
      <c r="D59" t="s">
        <v>15</v>
      </c>
      <c r="E59" t="str">
        <f>IF(logistics_classification_dataset__1[[#This Row],[Shipment_Type]]="Kara","Road",IF(logistics_classification_dataset__1[[#This Row],[Shipment_Type]]="Hava","Air",IF(logistics_classification_dataset__1[[#This Row],[Shipment_Type]]="Deniz","Sea")))</f>
        <v>Air</v>
      </c>
      <c r="F59">
        <v>214.09</v>
      </c>
      <c r="G59" t="str">
        <f t="shared" si="0"/>
        <v>0–500</v>
      </c>
      <c r="H59" s="1">
        <v>1419.9</v>
      </c>
      <c r="I59" t="str">
        <f t="shared" si="1"/>
        <v>1001–1500</v>
      </c>
      <c r="J59" t="s">
        <v>11</v>
      </c>
      <c r="K59" t="str">
        <f>IF(logistics_classification_dataset__1[[#This Row],[Customer_Segment]]="Bireysel","Individual",IF(logistics_classification_dataset__1[[#This Row],[Customer_Segment]]="Kurumsal","Corporate"))</f>
        <v>Individual</v>
      </c>
      <c r="L59">
        <v>0</v>
      </c>
    </row>
    <row r="60" spans="1:12" x14ac:dyDescent="0.35">
      <c r="A60">
        <v>59</v>
      </c>
      <c r="B60" t="s">
        <v>21</v>
      </c>
      <c r="C60" t="s">
        <v>16</v>
      </c>
      <c r="D60" t="s">
        <v>15</v>
      </c>
      <c r="E60" t="str">
        <f>IF(logistics_classification_dataset__1[[#This Row],[Shipment_Type]]="Kara","Road",IF(logistics_classification_dataset__1[[#This Row],[Shipment_Type]]="Hava","Air",IF(logistics_classification_dataset__1[[#This Row],[Shipment_Type]]="Deniz","Sea")))</f>
        <v>Air</v>
      </c>
      <c r="F60">
        <v>999.65</v>
      </c>
      <c r="G60" t="str">
        <f t="shared" si="0"/>
        <v>501–1000</v>
      </c>
      <c r="H60" s="1">
        <v>1249.7</v>
      </c>
      <c r="I60" t="str">
        <f t="shared" si="1"/>
        <v>1001–1500</v>
      </c>
      <c r="J60" t="s">
        <v>11</v>
      </c>
      <c r="K60" t="str">
        <f>IF(logistics_classification_dataset__1[[#This Row],[Customer_Segment]]="Bireysel","Individual",IF(logistics_classification_dataset__1[[#This Row],[Customer_Segment]]="Kurumsal","Corporate"))</f>
        <v>Individual</v>
      </c>
      <c r="L60">
        <v>0</v>
      </c>
    </row>
    <row r="61" spans="1:12" x14ac:dyDescent="0.35">
      <c r="A61">
        <v>60</v>
      </c>
      <c r="B61" t="s">
        <v>17</v>
      </c>
      <c r="C61" t="s">
        <v>13</v>
      </c>
      <c r="D61" t="s">
        <v>15</v>
      </c>
      <c r="E61" t="str">
        <f>IF(logistics_classification_dataset__1[[#This Row],[Shipment_Type]]="Kara","Road",IF(logistics_classification_dataset__1[[#This Row],[Shipment_Type]]="Hava","Air",IF(logistics_classification_dataset__1[[#This Row],[Shipment_Type]]="Deniz","Sea")))</f>
        <v>Air</v>
      </c>
      <c r="F61">
        <v>773.31</v>
      </c>
      <c r="G61" t="str">
        <f t="shared" si="0"/>
        <v>501–1000</v>
      </c>
      <c r="H61" s="1">
        <v>1532.8</v>
      </c>
      <c r="I61" t="str">
        <f t="shared" si="1"/>
        <v>1501–2000</v>
      </c>
      <c r="J61" t="s">
        <v>11</v>
      </c>
      <c r="K61" t="str">
        <f>IF(logistics_classification_dataset__1[[#This Row],[Customer_Segment]]="Bireysel","Individual",IF(logistics_classification_dataset__1[[#This Row],[Customer_Segment]]="Kurumsal","Corporate"))</f>
        <v>Individual</v>
      </c>
      <c r="L61">
        <v>1</v>
      </c>
    </row>
    <row r="62" spans="1:12" x14ac:dyDescent="0.35">
      <c r="A62">
        <v>61</v>
      </c>
      <c r="B62" t="s">
        <v>12</v>
      </c>
      <c r="C62" t="s">
        <v>9</v>
      </c>
      <c r="D62" t="s">
        <v>10</v>
      </c>
      <c r="E62" t="str">
        <f>IF(logistics_classification_dataset__1[[#This Row],[Shipment_Type]]="Kara","Road",IF(logistics_classification_dataset__1[[#This Row],[Shipment_Type]]="Hava","Air",IF(logistics_classification_dataset__1[[#This Row],[Shipment_Type]]="Deniz","Sea")))</f>
        <v>Road</v>
      </c>
      <c r="F62">
        <v>1732.31</v>
      </c>
      <c r="G62" t="str">
        <f t="shared" si="0"/>
        <v>1501–2000</v>
      </c>
      <c r="H62" s="1">
        <v>1050.2</v>
      </c>
      <c r="I62" t="str">
        <f t="shared" si="1"/>
        <v>1001–1500</v>
      </c>
      <c r="J62" t="s">
        <v>11</v>
      </c>
      <c r="K62" t="str">
        <f>IF(logistics_classification_dataset__1[[#This Row],[Customer_Segment]]="Bireysel","Individual",IF(logistics_classification_dataset__1[[#This Row],[Customer_Segment]]="Kurumsal","Corporate"))</f>
        <v>Individual</v>
      </c>
      <c r="L62">
        <v>1</v>
      </c>
    </row>
    <row r="63" spans="1:12" x14ac:dyDescent="0.35">
      <c r="A63">
        <v>62</v>
      </c>
      <c r="B63" t="s">
        <v>21</v>
      </c>
      <c r="C63" t="s">
        <v>9</v>
      </c>
      <c r="D63" t="s">
        <v>10</v>
      </c>
      <c r="E63" t="str">
        <f>IF(logistics_classification_dataset__1[[#This Row],[Shipment_Type]]="Kara","Road",IF(logistics_classification_dataset__1[[#This Row],[Shipment_Type]]="Hava","Air",IF(logistics_classification_dataset__1[[#This Row],[Shipment_Type]]="Deniz","Sea")))</f>
        <v>Road</v>
      </c>
      <c r="F63">
        <v>954.56</v>
      </c>
      <c r="G63" t="str">
        <f t="shared" si="0"/>
        <v>501–1000</v>
      </c>
      <c r="H63" s="1">
        <v>1423</v>
      </c>
      <c r="I63" t="str">
        <f t="shared" si="1"/>
        <v>1001–1500</v>
      </c>
      <c r="J63" t="s">
        <v>11</v>
      </c>
      <c r="K63" t="str">
        <f>IF(logistics_classification_dataset__1[[#This Row],[Customer_Segment]]="Bireysel","Individual",IF(logistics_classification_dataset__1[[#This Row],[Customer_Segment]]="Kurumsal","Corporate"))</f>
        <v>Individual</v>
      </c>
      <c r="L63">
        <v>1</v>
      </c>
    </row>
    <row r="64" spans="1:12" x14ac:dyDescent="0.35">
      <c r="A64">
        <v>63</v>
      </c>
      <c r="B64" t="s">
        <v>22</v>
      </c>
      <c r="C64" t="s">
        <v>21</v>
      </c>
      <c r="D64" t="s">
        <v>10</v>
      </c>
      <c r="E64" t="str">
        <f>IF(logistics_classification_dataset__1[[#This Row],[Shipment_Type]]="Kara","Road",IF(logistics_classification_dataset__1[[#This Row],[Shipment_Type]]="Hava","Air",IF(logistics_classification_dataset__1[[#This Row],[Shipment_Type]]="Deniz","Sea")))</f>
        <v>Road</v>
      </c>
      <c r="F64">
        <v>22.64</v>
      </c>
      <c r="G64" t="str">
        <f t="shared" si="0"/>
        <v>0–500</v>
      </c>
      <c r="H64" s="1">
        <v>1873.6</v>
      </c>
      <c r="I64" t="str">
        <f t="shared" si="1"/>
        <v>1501–2000</v>
      </c>
      <c r="J64" t="s">
        <v>11</v>
      </c>
      <c r="K64" t="str">
        <f>IF(logistics_classification_dataset__1[[#This Row],[Customer_Segment]]="Bireysel","Individual",IF(logistics_classification_dataset__1[[#This Row],[Customer_Segment]]="Kurumsal","Corporate"))</f>
        <v>Individual</v>
      </c>
      <c r="L64">
        <v>1</v>
      </c>
    </row>
    <row r="65" spans="1:12" x14ac:dyDescent="0.35">
      <c r="A65">
        <v>64</v>
      </c>
      <c r="B65" t="s">
        <v>17</v>
      </c>
      <c r="C65" t="s">
        <v>13</v>
      </c>
      <c r="D65" t="s">
        <v>10</v>
      </c>
      <c r="E65" t="str">
        <f>IF(logistics_classification_dataset__1[[#This Row],[Shipment_Type]]="Kara","Road",IF(logistics_classification_dataset__1[[#This Row],[Shipment_Type]]="Hava","Air",IF(logistics_classification_dataset__1[[#This Row],[Shipment_Type]]="Deniz","Sea")))</f>
        <v>Road</v>
      </c>
      <c r="F65">
        <v>1270.68</v>
      </c>
      <c r="G65" t="str">
        <f t="shared" si="0"/>
        <v>1001–1500</v>
      </c>
      <c r="H65" s="1">
        <v>782.8</v>
      </c>
      <c r="I65" t="str">
        <f t="shared" si="1"/>
        <v>501–1000</v>
      </c>
      <c r="J65" t="s">
        <v>14</v>
      </c>
      <c r="K65" t="str">
        <f>IF(logistics_classification_dataset__1[[#This Row],[Customer_Segment]]="Bireysel","Individual",IF(logistics_classification_dataset__1[[#This Row],[Customer_Segment]]="Kurumsal","Corporate"))</f>
        <v>Corporate</v>
      </c>
      <c r="L65">
        <v>1</v>
      </c>
    </row>
    <row r="66" spans="1:12" x14ac:dyDescent="0.35">
      <c r="A66">
        <v>65</v>
      </c>
      <c r="B66" t="s">
        <v>22</v>
      </c>
      <c r="C66" t="s">
        <v>9</v>
      </c>
      <c r="D66" t="s">
        <v>10</v>
      </c>
      <c r="E66" t="str">
        <f>IF(logistics_classification_dataset__1[[#This Row],[Shipment_Type]]="Kara","Road",IF(logistics_classification_dataset__1[[#This Row],[Shipment_Type]]="Hava","Air",IF(logistics_classification_dataset__1[[#This Row],[Shipment_Type]]="Deniz","Sea")))</f>
        <v>Road</v>
      </c>
      <c r="F66">
        <v>1542.71</v>
      </c>
      <c r="G66" t="str">
        <f t="shared" ref="G66:G129" si="2">IF(F66&lt;=500,"0–500",IF(F66&lt;=1000,"501–1000",IF(F66&lt;=1500,"1001–1500","1501–2000")))</f>
        <v>1501–2000</v>
      </c>
      <c r="H66" s="1">
        <v>1430.8</v>
      </c>
      <c r="I66" t="str">
        <f t="shared" ref="I66:I129" si="3">IF(H66&lt;=500,"0–500",IF(H66&lt;=1000,"501–1000",IF(H66&lt;=1500,"1001–1500",IF(H66&lt;=2000,"1501–2000","&gt;2000"))))</f>
        <v>1001–1500</v>
      </c>
      <c r="J66" t="s">
        <v>14</v>
      </c>
      <c r="K66" t="str">
        <f>IF(logistics_classification_dataset__1[[#This Row],[Customer_Segment]]="Bireysel","Individual",IF(logistics_classification_dataset__1[[#This Row],[Customer_Segment]]="Kurumsal","Corporate"))</f>
        <v>Corporate</v>
      </c>
      <c r="L66">
        <v>0</v>
      </c>
    </row>
    <row r="67" spans="1:12" x14ac:dyDescent="0.35">
      <c r="A67">
        <v>66</v>
      </c>
      <c r="B67" t="s">
        <v>17</v>
      </c>
      <c r="C67" t="s">
        <v>16</v>
      </c>
      <c r="D67" t="s">
        <v>10</v>
      </c>
      <c r="E67" t="str">
        <f>IF(logistics_classification_dataset__1[[#This Row],[Shipment_Type]]="Kara","Road",IF(logistics_classification_dataset__1[[#This Row],[Shipment_Type]]="Hava","Air",IF(logistics_classification_dataset__1[[#This Row],[Shipment_Type]]="Deniz","Sea")))</f>
        <v>Road</v>
      </c>
      <c r="F67">
        <v>10.75</v>
      </c>
      <c r="G67" t="str">
        <f t="shared" si="2"/>
        <v>0–500</v>
      </c>
      <c r="H67" s="1">
        <v>977.6</v>
      </c>
      <c r="I67" t="str">
        <f t="shared" si="3"/>
        <v>501–1000</v>
      </c>
      <c r="J67" t="s">
        <v>11</v>
      </c>
      <c r="K67" t="str">
        <f>IF(logistics_classification_dataset__1[[#This Row],[Customer_Segment]]="Bireysel","Individual",IF(logistics_classification_dataset__1[[#This Row],[Customer_Segment]]="Kurumsal","Corporate"))</f>
        <v>Individual</v>
      </c>
      <c r="L67">
        <v>1</v>
      </c>
    </row>
    <row r="68" spans="1:12" x14ac:dyDescent="0.35">
      <c r="A68">
        <v>67</v>
      </c>
      <c r="B68" t="s">
        <v>12</v>
      </c>
      <c r="C68" t="s">
        <v>9</v>
      </c>
      <c r="D68" t="s">
        <v>10</v>
      </c>
      <c r="E68" t="str">
        <f>IF(logistics_classification_dataset__1[[#This Row],[Shipment_Type]]="Kara","Road",IF(logistics_classification_dataset__1[[#This Row],[Shipment_Type]]="Hava","Air",IF(logistics_classification_dataset__1[[#This Row],[Shipment_Type]]="Deniz","Sea")))</f>
        <v>Road</v>
      </c>
      <c r="F68">
        <v>1718.62</v>
      </c>
      <c r="G68" t="str">
        <f t="shared" si="2"/>
        <v>1501–2000</v>
      </c>
      <c r="H68" s="1">
        <v>1365.1</v>
      </c>
      <c r="I68" t="str">
        <f t="shared" si="3"/>
        <v>1001–1500</v>
      </c>
      <c r="J68" t="s">
        <v>11</v>
      </c>
      <c r="K68" t="str">
        <f>IF(logistics_classification_dataset__1[[#This Row],[Customer_Segment]]="Bireysel","Individual",IF(logistics_classification_dataset__1[[#This Row],[Customer_Segment]]="Kurumsal","Corporate"))</f>
        <v>Individual</v>
      </c>
      <c r="L68">
        <v>1</v>
      </c>
    </row>
    <row r="69" spans="1:12" x14ac:dyDescent="0.35">
      <c r="A69">
        <v>68</v>
      </c>
      <c r="B69" t="s">
        <v>13</v>
      </c>
      <c r="C69" t="s">
        <v>8</v>
      </c>
      <c r="D69" t="s">
        <v>10</v>
      </c>
      <c r="E69" t="str">
        <f>IF(logistics_classification_dataset__1[[#This Row],[Shipment_Type]]="Kara","Road",IF(logistics_classification_dataset__1[[#This Row],[Shipment_Type]]="Hava","Air",IF(logistics_classification_dataset__1[[#This Row],[Shipment_Type]]="Deniz","Sea")))</f>
        <v>Road</v>
      </c>
      <c r="F69">
        <v>376.12</v>
      </c>
      <c r="G69" t="str">
        <f t="shared" si="2"/>
        <v>0–500</v>
      </c>
      <c r="H69" s="1">
        <v>1537.6</v>
      </c>
      <c r="I69" t="str">
        <f t="shared" si="3"/>
        <v>1501–2000</v>
      </c>
      <c r="J69" t="s">
        <v>11</v>
      </c>
      <c r="K69" t="str">
        <f>IF(logistics_classification_dataset__1[[#This Row],[Customer_Segment]]="Bireysel","Individual",IF(logistics_classification_dataset__1[[#This Row],[Customer_Segment]]="Kurumsal","Corporate"))</f>
        <v>Individual</v>
      </c>
      <c r="L69">
        <v>1</v>
      </c>
    </row>
    <row r="70" spans="1:12" x14ac:dyDescent="0.35">
      <c r="A70">
        <v>69</v>
      </c>
      <c r="B70" t="s">
        <v>8</v>
      </c>
      <c r="C70" t="s">
        <v>9</v>
      </c>
      <c r="D70" t="s">
        <v>10</v>
      </c>
      <c r="E70" t="str">
        <f>IF(logistics_classification_dataset__1[[#This Row],[Shipment_Type]]="Kara","Road",IF(logistics_classification_dataset__1[[#This Row],[Shipment_Type]]="Hava","Air",IF(logistics_classification_dataset__1[[#This Row],[Shipment_Type]]="Deniz","Sea")))</f>
        <v>Road</v>
      </c>
      <c r="F70">
        <v>1106.3800000000001</v>
      </c>
      <c r="G70" t="str">
        <f t="shared" si="2"/>
        <v>1001–1500</v>
      </c>
      <c r="H70" s="1">
        <v>138.6</v>
      </c>
      <c r="I70" t="str">
        <f t="shared" si="3"/>
        <v>0–500</v>
      </c>
      <c r="J70" t="s">
        <v>14</v>
      </c>
      <c r="K70" t="str">
        <f>IF(logistics_classification_dataset__1[[#This Row],[Customer_Segment]]="Bireysel","Individual",IF(logistics_classification_dataset__1[[#This Row],[Customer_Segment]]="Kurumsal","Corporate"))</f>
        <v>Corporate</v>
      </c>
      <c r="L70">
        <v>1</v>
      </c>
    </row>
    <row r="71" spans="1:12" x14ac:dyDescent="0.35">
      <c r="A71">
        <v>70</v>
      </c>
      <c r="B71" t="s">
        <v>20</v>
      </c>
      <c r="C71" t="s">
        <v>12</v>
      </c>
      <c r="D71" t="s">
        <v>10</v>
      </c>
      <c r="E71" t="str">
        <f>IF(logistics_classification_dataset__1[[#This Row],[Shipment_Type]]="Kara","Road",IF(logistics_classification_dataset__1[[#This Row],[Shipment_Type]]="Hava","Air",IF(logistics_classification_dataset__1[[#This Row],[Shipment_Type]]="Deniz","Sea")))</f>
        <v>Road</v>
      </c>
      <c r="F71">
        <v>834.52</v>
      </c>
      <c r="G71" t="str">
        <f t="shared" si="2"/>
        <v>501–1000</v>
      </c>
      <c r="H71" s="1">
        <v>1310.9</v>
      </c>
      <c r="I71" t="str">
        <f t="shared" si="3"/>
        <v>1001–1500</v>
      </c>
      <c r="J71" t="s">
        <v>11</v>
      </c>
      <c r="K71" t="str">
        <f>IF(logistics_classification_dataset__1[[#This Row],[Customer_Segment]]="Bireysel","Individual",IF(logistics_classification_dataset__1[[#This Row],[Customer_Segment]]="Kurumsal","Corporate"))</f>
        <v>Individual</v>
      </c>
      <c r="L71">
        <v>1</v>
      </c>
    </row>
    <row r="72" spans="1:12" x14ac:dyDescent="0.35">
      <c r="A72">
        <v>71</v>
      </c>
      <c r="B72" t="s">
        <v>13</v>
      </c>
      <c r="C72" t="s">
        <v>20</v>
      </c>
      <c r="D72" t="s">
        <v>15</v>
      </c>
      <c r="E72" t="str">
        <f>IF(logistics_classification_dataset__1[[#This Row],[Shipment_Type]]="Kara","Road",IF(logistics_classification_dataset__1[[#This Row],[Shipment_Type]]="Hava","Air",IF(logistics_classification_dataset__1[[#This Row],[Shipment_Type]]="Deniz","Sea")))</f>
        <v>Air</v>
      </c>
      <c r="F72">
        <v>1440.71</v>
      </c>
      <c r="G72" t="str">
        <f t="shared" si="2"/>
        <v>1001–1500</v>
      </c>
      <c r="H72" s="1">
        <v>492.1</v>
      </c>
      <c r="I72" t="str">
        <f t="shared" si="3"/>
        <v>0–500</v>
      </c>
      <c r="J72" t="s">
        <v>11</v>
      </c>
      <c r="K72" t="str">
        <f>IF(logistics_classification_dataset__1[[#This Row],[Customer_Segment]]="Bireysel","Individual",IF(logistics_classification_dataset__1[[#This Row],[Customer_Segment]]="Kurumsal","Corporate"))</f>
        <v>Individual</v>
      </c>
      <c r="L72">
        <v>1</v>
      </c>
    </row>
    <row r="73" spans="1:12" x14ac:dyDescent="0.35">
      <c r="A73">
        <v>72</v>
      </c>
      <c r="B73" t="s">
        <v>16</v>
      </c>
      <c r="C73" t="s">
        <v>9</v>
      </c>
      <c r="D73" t="s">
        <v>10</v>
      </c>
      <c r="E73" t="str">
        <f>IF(logistics_classification_dataset__1[[#This Row],[Shipment_Type]]="Kara","Road",IF(logistics_classification_dataset__1[[#This Row],[Shipment_Type]]="Hava","Air",IF(logistics_classification_dataset__1[[#This Row],[Shipment_Type]]="Deniz","Sea")))</f>
        <v>Road</v>
      </c>
      <c r="F73">
        <v>745.47</v>
      </c>
      <c r="G73" t="str">
        <f t="shared" si="2"/>
        <v>501–1000</v>
      </c>
      <c r="H73" s="1">
        <v>1356.6</v>
      </c>
      <c r="I73" t="str">
        <f t="shared" si="3"/>
        <v>1001–1500</v>
      </c>
      <c r="J73" t="s">
        <v>11</v>
      </c>
      <c r="K73" t="str">
        <f>IF(logistics_classification_dataset__1[[#This Row],[Customer_Segment]]="Bireysel","Individual",IF(logistics_classification_dataset__1[[#This Row],[Customer_Segment]]="Kurumsal","Corporate"))</f>
        <v>Individual</v>
      </c>
      <c r="L73">
        <v>1</v>
      </c>
    </row>
    <row r="74" spans="1:12" x14ac:dyDescent="0.35">
      <c r="A74">
        <v>73</v>
      </c>
      <c r="B74" t="s">
        <v>22</v>
      </c>
      <c r="C74" t="s">
        <v>12</v>
      </c>
      <c r="D74" t="s">
        <v>19</v>
      </c>
      <c r="E74" t="str">
        <f>IF(logistics_classification_dataset__1[[#This Row],[Shipment_Type]]="Kara","Road",IF(logistics_classification_dataset__1[[#This Row],[Shipment_Type]]="Hava","Air",IF(logistics_classification_dataset__1[[#This Row],[Shipment_Type]]="Deniz","Sea")))</f>
        <v>Sea</v>
      </c>
      <c r="F74">
        <v>1740.18</v>
      </c>
      <c r="G74" t="str">
        <f t="shared" si="2"/>
        <v>1501–2000</v>
      </c>
      <c r="H74" s="1">
        <v>963.2</v>
      </c>
      <c r="I74" t="str">
        <f t="shared" si="3"/>
        <v>501–1000</v>
      </c>
      <c r="J74" t="s">
        <v>11</v>
      </c>
      <c r="K74" t="str">
        <f>IF(logistics_classification_dataset__1[[#This Row],[Customer_Segment]]="Bireysel","Individual",IF(logistics_classification_dataset__1[[#This Row],[Customer_Segment]]="Kurumsal","Corporate"))</f>
        <v>Individual</v>
      </c>
      <c r="L74">
        <v>1</v>
      </c>
    </row>
    <row r="75" spans="1:12" x14ac:dyDescent="0.35">
      <c r="A75">
        <v>74</v>
      </c>
      <c r="B75" t="s">
        <v>16</v>
      </c>
      <c r="C75" t="s">
        <v>21</v>
      </c>
      <c r="D75" t="s">
        <v>15</v>
      </c>
      <c r="E75" t="str">
        <f>IF(logistics_classification_dataset__1[[#This Row],[Shipment_Type]]="Kara","Road",IF(logistics_classification_dataset__1[[#This Row],[Shipment_Type]]="Hava","Air",IF(logistics_classification_dataset__1[[#This Row],[Shipment_Type]]="Deniz","Sea")))</f>
        <v>Air</v>
      </c>
      <c r="F75">
        <v>1462.34</v>
      </c>
      <c r="G75" t="str">
        <f t="shared" si="2"/>
        <v>1001–1500</v>
      </c>
      <c r="H75" s="1">
        <v>1558.4</v>
      </c>
      <c r="I75" t="str">
        <f t="shared" si="3"/>
        <v>1501–2000</v>
      </c>
      <c r="J75" t="s">
        <v>11</v>
      </c>
      <c r="K75" t="str">
        <f>IF(logistics_classification_dataset__1[[#This Row],[Customer_Segment]]="Bireysel","Individual",IF(logistics_classification_dataset__1[[#This Row],[Customer_Segment]]="Kurumsal","Corporate"))</f>
        <v>Individual</v>
      </c>
      <c r="L75">
        <v>1</v>
      </c>
    </row>
    <row r="76" spans="1:12" x14ac:dyDescent="0.35">
      <c r="A76">
        <v>75</v>
      </c>
      <c r="B76" t="s">
        <v>13</v>
      </c>
      <c r="C76" t="s">
        <v>21</v>
      </c>
      <c r="D76" t="s">
        <v>10</v>
      </c>
      <c r="E76" t="str">
        <f>IF(logistics_classification_dataset__1[[#This Row],[Shipment_Type]]="Kara","Road",IF(logistics_classification_dataset__1[[#This Row],[Shipment_Type]]="Hava","Air",IF(logistics_classification_dataset__1[[#This Row],[Shipment_Type]]="Deniz","Sea")))</f>
        <v>Road</v>
      </c>
      <c r="F76">
        <v>1297.19</v>
      </c>
      <c r="G76" t="str">
        <f t="shared" si="2"/>
        <v>1001–1500</v>
      </c>
      <c r="H76" s="1">
        <v>290.60000000000002</v>
      </c>
      <c r="I76" t="str">
        <f t="shared" si="3"/>
        <v>0–500</v>
      </c>
      <c r="J76" t="s">
        <v>11</v>
      </c>
      <c r="K76" t="str">
        <f>IF(logistics_classification_dataset__1[[#This Row],[Customer_Segment]]="Bireysel","Individual",IF(logistics_classification_dataset__1[[#This Row],[Customer_Segment]]="Kurumsal","Corporate"))</f>
        <v>Individual</v>
      </c>
      <c r="L76">
        <v>1</v>
      </c>
    </row>
    <row r="77" spans="1:12" x14ac:dyDescent="0.35">
      <c r="A77">
        <v>76</v>
      </c>
      <c r="B77" t="s">
        <v>17</v>
      </c>
      <c r="C77" t="s">
        <v>13</v>
      </c>
      <c r="D77" t="s">
        <v>15</v>
      </c>
      <c r="E77" t="str">
        <f>IF(logistics_classification_dataset__1[[#This Row],[Shipment_Type]]="Kara","Road",IF(logistics_classification_dataset__1[[#This Row],[Shipment_Type]]="Hava","Air",IF(logistics_classification_dataset__1[[#This Row],[Shipment_Type]]="Deniz","Sea")))</f>
        <v>Air</v>
      </c>
      <c r="F77">
        <v>159.35</v>
      </c>
      <c r="G77" t="str">
        <f t="shared" si="2"/>
        <v>0–500</v>
      </c>
      <c r="H77" s="1">
        <v>1271.3</v>
      </c>
      <c r="I77" t="str">
        <f t="shared" si="3"/>
        <v>1001–1500</v>
      </c>
      <c r="J77" t="s">
        <v>14</v>
      </c>
      <c r="K77" t="str">
        <f>IF(logistics_classification_dataset__1[[#This Row],[Customer_Segment]]="Bireysel","Individual",IF(logistics_classification_dataset__1[[#This Row],[Customer_Segment]]="Kurumsal","Corporate"))</f>
        <v>Corporate</v>
      </c>
      <c r="L77">
        <v>1</v>
      </c>
    </row>
    <row r="78" spans="1:12" x14ac:dyDescent="0.35">
      <c r="A78">
        <v>77</v>
      </c>
      <c r="B78" t="s">
        <v>20</v>
      </c>
      <c r="C78" t="s">
        <v>9</v>
      </c>
      <c r="D78" t="s">
        <v>10</v>
      </c>
      <c r="E78" t="str">
        <f>IF(logistics_classification_dataset__1[[#This Row],[Shipment_Type]]="Kara","Road",IF(logistics_classification_dataset__1[[#This Row],[Shipment_Type]]="Hava","Air",IF(logistics_classification_dataset__1[[#This Row],[Shipment_Type]]="Deniz","Sea")))</f>
        <v>Road</v>
      </c>
      <c r="F78">
        <v>1509.28</v>
      </c>
      <c r="G78" t="str">
        <f t="shared" si="2"/>
        <v>1501–2000</v>
      </c>
      <c r="H78" s="1">
        <v>593</v>
      </c>
      <c r="I78" t="str">
        <f t="shared" si="3"/>
        <v>501–1000</v>
      </c>
      <c r="J78" t="s">
        <v>14</v>
      </c>
      <c r="K78" t="str">
        <f>IF(logistics_classification_dataset__1[[#This Row],[Customer_Segment]]="Bireysel","Individual",IF(logistics_classification_dataset__1[[#This Row],[Customer_Segment]]="Kurumsal","Corporate"))</f>
        <v>Corporate</v>
      </c>
      <c r="L78">
        <v>1</v>
      </c>
    </row>
    <row r="79" spans="1:12" x14ac:dyDescent="0.35">
      <c r="A79">
        <v>78</v>
      </c>
      <c r="B79" t="s">
        <v>20</v>
      </c>
      <c r="C79" t="s">
        <v>8</v>
      </c>
      <c r="D79" t="s">
        <v>10</v>
      </c>
      <c r="E79" t="str">
        <f>IF(logistics_classification_dataset__1[[#This Row],[Shipment_Type]]="Kara","Road",IF(logistics_classification_dataset__1[[#This Row],[Shipment_Type]]="Hava","Air",IF(logistics_classification_dataset__1[[#This Row],[Shipment_Type]]="Deniz","Sea")))</f>
        <v>Road</v>
      </c>
      <c r="F79">
        <v>7.67</v>
      </c>
      <c r="G79" t="str">
        <f t="shared" si="2"/>
        <v>0–500</v>
      </c>
      <c r="H79" s="1">
        <v>1713.3</v>
      </c>
      <c r="I79" t="str">
        <f t="shared" si="3"/>
        <v>1501–2000</v>
      </c>
      <c r="J79" t="s">
        <v>14</v>
      </c>
      <c r="K79" t="str">
        <f>IF(logistics_classification_dataset__1[[#This Row],[Customer_Segment]]="Bireysel","Individual",IF(logistics_classification_dataset__1[[#This Row],[Customer_Segment]]="Kurumsal","Corporate"))</f>
        <v>Corporate</v>
      </c>
      <c r="L79">
        <v>1</v>
      </c>
    </row>
    <row r="80" spans="1:12" x14ac:dyDescent="0.35">
      <c r="A80">
        <v>79</v>
      </c>
      <c r="B80" t="s">
        <v>9</v>
      </c>
      <c r="C80" t="s">
        <v>16</v>
      </c>
      <c r="D80" t="s">
        <v>10</v>
      </c>
      <c r="E80" t="str">
        <f>IF(logistics_classification_dataset__1[[#This Row],[Shipment_Type]]="Kara","Road",IF(logistics_classification_dataset__1[[#This Row],[Shipment_Type]]="Hava","Air",IF(logistics_classification_dataset__1[[#This Row],[Shipment_Type]]="Deniz","Sea")))</f>
        <v>Road</v>
      </c>
      <c r="F80">
        <v>79.25</v>
      </c>
      <c r="G80" t="str">
        <f t="shared" si="2"/>
        <v>0–500</v>
      </c>
      <c r="H80" s="1">
        <v>1860.3</v>
      </c>
      <c r="I80" t="str">
        <f t="shared" si="3"/>
        <v>1501–2000</v>
      </c>
      <c r="J80" t="s">
        <v>14</v>
      </c>
      <c r="K80" t="str">
        <f>IF(logistics_classification_dataset__1[[#This Row],[Customer_Segment]]="Bireysel","Individual",IF(logistics_classification_dataset__1[[#This Row],[Customer_Segment]]="Kurumsal","Corporate"))</f>
        <v>Corporate</v>
      </c>
      <c r="L80">
        <v>1</v>
      </c>
    </row>
    <row r="81" spans="1:12" x14ac:dyDescent="0.35">
      <c r="A81">
        <v>80</v>
      </c>
      <c r="B81" t="s">
        <v>20</v>
      </c>
      <c r="C81" t="s">
        <v>8</v>
      </c>
      <c r="D81" t="s">
        <v>10</v>
      </c>
      <c r="E81" t="str">
        <f>IF(logistics_classification_dataset__1[[#This Row],[Shipment_Type]]="Kara","Road",IF(logistics_classification_dataset__1[[#This Row],[Shipment_Type]]="Hava","Air",IF(logistics_classification_dataset__1[[#This Row],[Shipment_Type]]="Deniz","Sea")))</f>
        <v>Road</v>
      </c>
      <c r="F81">
        <v>1861.96</v>
      </c>
      <c r="G81" t="str">
        <f t="shared" si="2"/>
        <v>1501–2000</v>
      </c>
      <c r="H81" s="1">
        <v>1993</v>
      </c>
      <c r="I81" t="str">
        <f t="shared" si="3"/>
        <v>1501–2000</v>
      </c>
      <c r="J81" t="s">
        <v>11</v>
      </c>
      <c r="K81" t="str">
        <f>IF(logistics_classification_dataset__1[[#This Row],[Customer_Segment]]="Bireysel","Individual",IF(logistics_classification_dataset__1[[#This Row],[Customer_Segment]]="Kurumsal","Corporate"))</f>
        <v>Individual</v>
      </c>
      <c r="L81">
        <v>1</v>
      </c>
    </row>
    <row r="82" spans="1:12" x14ac:dyDescent="0.35">
      <c r="A82">
        <v>81</v>
      </c>
      <c r="B82" t="s">
        <v>8</v>
      </c>
      <c r="C82" t="s">
        <v>18</v>
      </c>
      <c r="D82" t="s">
        <v>10</v>
      </c>
      <c r="E82" t="str">
        <f>IF(logistics_classification_dataset__1[[#This Row],[Shipment_Type]]="Kara","Road",IF(logistics_classification_dataset__1[[#This Row],[Shipment_Type]]="Hava","Air",IF(logistics_classification_dataset__1[[#This Row],[Shipment_Type]]="Deniz","Sea")))</f>
        <v>Road</v>
      </c>
      <c r="F82">
        <v>255.82</v>
      </c>
      <c r="G82" t="str">
        <f t="shared" si="2"/>
        <v>0–500</v>
      </c>
      <c r="H82" s="1">
        <v>1602.2</v>
      </c>
      <c r="I82" t="str">
        <f t="shared" si="3"/>
        <v>1501–2000</v>
      </c>
      <c r="J82" t="s">
        <v>11</v>
      </c>
      <c r="K82" t="str">
        <f>IF(logistics_classification_dataset__1[[#This Row],[Customer_Segment]]="Bireysel","Individual",IF(logistics_classification_dataset__1[[#This Row],[Customer_Segment]]="Kurumsal","Corporate"))</f>
        <v>Individual</v>
      </c>
      <c r="L82">
        <v>1</v>
      </c>
    </row>
    <row r="83" spans="1:12" x14ac:dyDescent="0.35">
      <c r="A83">
        <v>82</v>
      </c>
      <c r="B83" t="s">
        <v>20</v>
      </c>
      <c r="C83" t="s">
        <v>13</v>
      </c>
      <c r="D83" t="s">
        <v>10</v>
      </c>
      <c r="E83" t="str">
        <f>IF(logistics_classification_dataset__1[[#This Row],[Shipment_Type]]="Kara","Road",IF(logistics_classification_dataset__1[[#This Row],[Shipment_Type]]="Hava","Air",IF(logistics_classification_dataset__1[[#This Row],[Shipment_Type]]="Deniz","Sea")))</f>
        <v>Road</v>
      </c>
      <c r="F83">
        <v>1475.51</v>
      </c>
      <c r="G83" t="str">
        <f t="shared" si="2"/>
        <v>1001–1500</v>
      </c>
      <c r="H83" s="1">
        <v>1519.8</v>
      </c>
      <c r="I83" t="str">
        <f t="shared" si="3"/>
        <v>1501–2000</v>
      </c>
      <c r="J83" t="s">
        <v>14</v>
      </c>
      <c r="K83" t="str">
        <f>IF(logistics_classification_dataset__1[[#This Row],[Customer_Segment]]="Bireysel","Individual",IF(logistics_classification_dataset__1[[#This Row],[Customer_Segment]]="Kurumsal","Corporate"))</f>
        <v>Corporate</v>
      </c>
      <c r="L83">
        <v>1</v>
      </c>
    </row>
    <row r="84" spans="1:12" x14ac:dyDescent="0.35">
      <c r="A84">
        <v>83</v>
      </c>
      <c r="B84" t="s">
        <v>13</v>
      </c>
      <c r="C84" t="s">
        <v>18</v>
      </c>
      <c r="D84" t="s">
        <v>15</v>
      </c>
      <c r="E84" t="str">
        <f>IF(logistics_classification_dataset__1[[#This Row],[Shipment_Type]]="Kara","Road",IF(logistics_classification_dataset__1[[#This Row],[Shipment_Type]]="Hava","Air",IF(logistics_classification_dataset__1[[#This Row],[Shipment_Type]]="Deniz","Sea")))</f>
        <v>Air</v>
      </c>
      <c r="F84">
        <v>1949.31</v>
      </c>
      <c r="G84" t="str">
        <f t="shared" si="2"/>
        <v>1501–2000</v>
      </c>
      <c r="H84" s="1">
        <v>470.2</v>
      </c>
      <c r="I84" t="str">
        <f t="shared" si="3"/>
        <v>0–500</v>
      </c>
      <c r="J84" t="s">
        <v>14</v>
      </c>
      <c r="K84" t="str">
        <f>IF(logistics_classification_dataset__1[[#This Row],[Customer_Segment]]="Bireysel","Individual",IF(logistics_classification_dataset__1[[#This Row],[Customer_Segment]]="Kurumsal","Corporate"))</f>
        <v>Corporate</v>
      </c>
      <c r="L84">
        <v>1</v>
      </c>
    </row>
    <row r="85" spans="1:12" x14ac:dyDescent="0.35">
      <c r="A85">
        <v>84</v>
      </c>
      <c r="B85" t="s">
        <v>9</v>
      </c>
      <c r="C85" t="s">
        <v>20</v>
      </c>
      <c r="D85" t="s">
        <v>15</v>
      </c>
      <c r="E85" t="str">
        <f>IF(logistics_classification_dataset__1[[#This Row],[Shipment_Type]]="Kara","Road",IF(logistics_classification_dataset__1[[#This Row],[Shipment_Type]]="Hava","Air",IF(logistics_classification_dataset__1[[#This Row],[Shipment_Type]]="Deniz","Sea")))</f>
        <v>Air</v>
      </c>
      <c r="F85">
        <v>109.14</v>
      </c>
      <c r="G85" t="str">
        <f t="shared" si="2"/>
        <v>0–500</v>
      </c>
      <c r="H85" s="1">
        <v>705.2</v>
      </c>
      <c r="I85" t="str">
        <f t="shared" si="3"/>
        <v>501–1000</v>
      </c>
      <c r="J85" t="s">
        <v>11</v>
      </c>
      <c r="K85" t="str">
        <f>IF(logistics_classification_dataset__1[[#This Row],[Customer_Segment]]="Bireysel","Individual",IF(logistics_classification_dataset__1[[#This Row],[Customer_Segment]]="Kurumsal","Corporate"))</f>
        <v>Individual</v>
      </c>
      <c r="L85">
        <v>0</v>
      </c>
    </row>
    <row r="86" spans="1:12" x14ac:dyDescent="0.35">
      <c r="A86">
        <v>85</v>
      </c>
      <c r="B86" t="s">
        <v>13</v>
      </c>
      <c r="C86" t="s">
        <v>8</v>
      </c>
      <c r="D86" t="s">
        <v>10</v>
      </c>
      <c r="E86" t="str">
        <f>IF(logistics_classification_dataset__1[[#This Row],[Shipment_Type]]="Kara","Road",IF(logistics_classification_dataset__1[[#This Row],[Shipment_Type]]="Hava","Air",IF(logistics_classification_dataset__1[[#This Row],[Shipment_Type]]="Deniz","Sea")))</f>
        <v>Road</v>
      </c>
      <c r="F86">
        <v>1365.98</v>
      </c>
      <c r="G86" t="str">
        <f t="shared" si="2"/>
        <v>1001–1500</v>
      </c>
      <c r="H86" s="1">
        <v>958.1</v>
      </c>
      <c r="I86" t="str">
        <f t="shared" si="3"/>
        <v>501–1000</v>
      </c>
      <c r="J86" t="s">
        <v>11</v>
      </c>
      <c r="K86" t="str">
        <f>IF(logistics_classification_dataset__1[[#This Row],[Customer_Segment]]="Bireysel","Individual",IF(logistics_classification_dataset__1[[#This Row],[Customer_Segment]]="Kurumsal","Corporate"))</f>
        <v>Individual</v>
      </c>
      <c r="L86">
        <v>1</v>
      </c>
    </row>
    <row r="87" spans="1:12" x14ac:dyDescent="0.35">
      <c r="A87">
        <v>86</v>
      </c>
      <c r="B87" t="s">
        <v>13</v>
      </c>
      <c r="C87" t="s">
        <v>18</v>
      </c>
      <c r="D87" t="s">
        <v>15</v>
      </c>
      <c r="E87" t="str">
        <f>IF(logistics_classification_dataset__1[[#This Row],[Shipment_Type]]="Kara","Road",IF(logistics_classification_dataset__1[[#This Row],[Shipment_Type]]="Hava","Air",IF(logistics_classification_dataset__1[[#This Row],[Shipment_Type]]="Deniz","Sea")))</f>
        <v>Air</v>
      </c>
      <c r="F87">
        <v>938.97</v>
      </c>
      <c r="G87" t="str">
        <f t="shared" si="2"/>
        <v>501–1000</v>
      </c>
      <c r="H87" s="1">
        <v>1558.1</v>
      </c>
      <c r="I87" t="str">
        <f t="shared" si="3"/>
        <v>1501–2000</v>
      </c>
      <c r="J87" t="s">
        <v>11</v>
      </c>
      <c r="K87" t="str">
        <f>IF(logistics_classification_dataset__1[[#This Row],[Customer_Segment]]="Bireysel","Individual",IF(logistics_classification_dataset__1[[#This Row],[Customer_Segment]]="Kurumsal","Corporate"))</f>
        <v>Individual</v>
      </c>
      <c r="L87">
        <v>1</v>
      </c>
    </row>
    <row r="88" spans="1:12" x14ac:dyDescent="0.35">
      <c r="A88">
        <v>87</v>
      </c>
      <c r="B88" t="s">
        <v>18</v>
      </c>
      <c r="C88" t="s">
        <v>22</v>
      </c>
      <c r="D88" t="s">
        <v>10</v>
      </c>
      <c r="E88" t="str">
        <f>IF(logistics_classification_dataset__1[[#This Row],[Shipment_Type]]="Kara","Road",IF(logistics_classification_dataset__1[[#This Row],[Shipment_Type]]="Hava","Air",IF(logistics_classification_dataset__1[[#This Row],[Shipment_Type]]="Deniz","Sea")))</f>
        <v>Road</v>
      </c>
      <c r="F88">
        <v>1160.45</v>
      </c>
      <c r="G88" t="str">
        <f t="shared" si="2"/>
        <v>1001–1500</v>
      </c>
      <c r="H88" s="1">
        <v>1834.2</v>
      </c>
      <c r="I88" t="str">
        <f t="shared" si="3"/>
        <v>1501–2000</v>
      </c>
      <c r="J88" t="s">
        <v>11</v>
      </c>
      <c r="K88" t="str">
        <f>IF(logistics_classification_dataset__1[[#This Row],[Customer_Segment]]="Bireysel","Individual",IF(logistics_classification_dataset__1[[#This Row],[Customer_Segment]]="Kurumsal","Corporate"))</f>
        <v>Individual</v>
      </c>
      <c r="L88">
        <v>1</v>
      </c>
    </row>
    <row r="89" spans="1:12" x14ac:dyDescent="0.35">
      <c r="A89">
        <v>88</v>
      </c>
      <c r="B89" t="s">
        <v>9</v>
      </c>
      <c r="C89" t="s">
        <v>12</v>
      </c>
      <c r="D89" t="s">
        <v>10</v>
      </c>
      <c r="E89" t="str">
        <f>IF(logistics_classification_dataset__1[[#This Row],[Shipment_Type]]="Kara","Road",IF(logistics_classification_dataset__1[[#This Row],[Shipment_Type]]="Hava","Air",IF(logistics_classification_dataset__1[[#This Row],[Shipment_Type]]="Deniz","Sea")))</f>
        <v>Road</v>
      </c>
      <c r="F89">
        <v>175.26</v>
      </c>
      <c r="G89" t="str">
        <f t="shared" si="2"/>
        <v>0–500</v>
      </c>
      <c r="H89" s="1">
        <v>418.8</v>
      </c>
      <c r="I89" t="str">
        <f t="shared" si="3"/>
        <v>0–500</v>
      </c>
      <c r="J89" t="s">
        <v>11</v>
      </c>
      <c r="K89" t="str">
        <f>IF(logistics_classification_dataset__1[[#This Row],[Customer_Segment]]="Bireysel","Individual",IF(logistics_classification_dataset__1[[#This Row],[Customer_Segment]]="Kurumsal","Corporate"))</f>
        <v>Individual</v>
      </c>
      <c r="L89">
        <v>1</v>
      </c>
    </row>
    <row r="90" spans="1:12" x14ac:dyDescent="0.35">
      <c r="A90">
        <v>89</v>
      </c>
      <c r="B90" t="s">
        <v>13</v>
      </c>
      <c r="C90" t="s">
        <v>18</v>
      </c>
      <c r="D90" t="s">
        <v>15</v>
      </c>
      <c r="E90" t="str">
        <f>IF(logistics_classification_dataset__1[[#This Row],[Shipment_Type]]="Kara","Road",IF(logistics_classification_dataset__1[[#This Row],[Shipment_Type]]="Hava","Air",IF(logistics_classification_dataset__1[[#This Row],[Shipment_Type]]="Deniz","Sea")))</f>
        <v>Air</v>
      </c>
      <c r="F90">
        <v>9.08</v>
      </c>
      <c r="G90" t="str">
        <f t="shared" si="2"/>
        <v>0–500</v>
      </c>
      <c r="H90" s="1">
        <v>1848.6</v>
      </c>
      <c r="I90" t="str">
        <f t="shared" si="3"/>
        <v>1501–2000</v>
      </c>
      <c r="J90" t="s">
        <v>11</v>
      </c>
      <c r="K90" t="str">
        <f>IF(logistics_classification_dataset__1[[#This Row],[Customer_Segment]]="Bireysel","Individual",IF(logistics_classification_dataset__1[[#This Row],[Customer_Segment]]="Kurumsal","Corporate"))</f>
        <v>Individual</v>
      </c>
      <c r="L90">
        <v>0</v>
      </c>
    </row>
    <row r="91" spans="1:12" x14ac:dyDescent="0.35">
      <c r="A91">
        <v>90</v>
      </c>
      <c r="B91" t="s">
        <v>18</v>
      </c>
      <c r="C91" t="s">
        <v>22</v>
      </c>
      <c r="D91" t="s">
        <v>10</v>
      </c>
      <c r="E91" t="str">
        <f>IF(logistics_classification_dataset__1[[#This Row],[Shipment_Type]]="Kara","Road",IF(logistics_classification_dataset__1[[#This Row],[Shipment_Type]]="Hava","Air",IF(logistics_classification_dataset__1[[#This Row],[Shipment_Type]]="Deniz","Sea")))</f>
        <v>Road</v>
      </c>
      <c r="F91">
        <v>133.54</v>
      </c>
      <c r="G91" t="str">
        <f t="shared" si="2"/>
        <v>0–500</v>
      </c>
      <c r="H91" s="1">
        <v>1406.5</v>
      </c>
      <c r="I91" t="str">
        <f t="shared" si="3"/>
        <v>1001–1500</v>
      </c>
      <c r="J91" t="s">
        <v>11</v>
      </c>
      <c r="K91" t="str">
        <f>IF(logistics_classification_dataset__1[[#This Row],[Customer_Segment]]="Bireysel","Individual",IF(logistics_classification_dataset__1[[#This Row],[Customer_Segment]]="Kurumsal","Corporate"))</f>
        <v>Individual</v>
      </c>
      <c r="L91">
        <v>1</v>
      </c>
    </row>
    <row r="92" spans="1:12" x14ac:dyDescent="0.35">
      <c r="A92">
        <v>91</v>
      </c>
      <c r="B92" t="s">
        <v>18</v>
      </c>
      <c r="C92" t="s">
        <v>22</v>
      </c>
      <c r="D92" t="s">
        <v>10</v>
      </c>
      <c r="E92" t="str">
        <f>IF(logistics_classification_dataset__1[[#This Row],[Shipment_Type]]="Kara","Road",IF(logistics_classification_dataset__1[[#This Row],[Shipment_Type]]="Hava","Air",IF(logistics_classification_dataset__1[[#This Row],[Shipment_Type]]="Deniz","Sea")))</f>
        <v>Road</v>
      </c>
      <c r="F92">
        <v>164.75</v>
      </c>
      <c r="G92" t="str">
        <f t="shared" si="2"/>
        <v>0–500</v>
      </c>
      <c r="H92" s="1">
        <v>1241</v>
      </c>
      <c r="I92" t="str">
        <f t="shared" si="3"/>
        <v>1001–1500</v>
      </c>
      <c r="J92" t="s">
        <v>11</v>
      </c>
      <c r="K92" t="str">
        <f>IF(logistics_classification_dataset__1[[#This Row],[Customer_Segment]]="Bireysel","Individual",IF(logistics_classification_dataset__1[[#This Row],[Customer_Segment]]="Kurumsal","Corporate"))</f>
        <v>Individual</v>
      </c>
      <c r="L92">
        <v>1</v>
      </c>
    </row>
    <row r="93" spans="1:12" x14ac:dyDescent="0.35">
      <c r="A93">
        <v>92</v>
      </c>
      <c r="B93" t="s">
        <v>9</v>
      </c>
      <c r="C93" t="s">
        <v>21</v>
      </c>
      <c r="D93" t="s">
        <v>10</v>
      </c>
      <c r="E93" t="str">
        <f>IF(logistics_classification_dataset__1[[#This Row],[Shipment_Type]]="Kara","Road",IF(logistics_classification_dataset__1[[#This Row],[Shipment_Type]]="Hava","Air",IF(logistics_classification_dataset__1[[#This Row],[Shipment_Type]]="Deniz","Sea")))</f>
        <v>Road</v>
      </c>
      <c r="F93">
        <v>1565.12</v>
      </c>
      <c r="G93" t="str">
        <f t="shared" si="2"/>
        <v>1501–2000</v>
      </c>
      <c r="H93" s="1">
        <v>439.7</v>
      </c>
      <c r="I93" t="str">
        <f t="shared" si="3"/>
        <v>0–500</v>
      </c>
      <c r="J93" t="s">
        <v>14</v>
      </c>
      <c r="K93" t="str">
        <f>IF(logistics_classification_dataset__1[[#This Row],[Customer_Segment]]="Bireysel","Individual",IF(logistics_classification_dataset__1[[#This Row],[Customer_Segment]]="Kurumsal","Corporate"))</f>
        <v>Corporate</v>
      </c>
      <c r="L93">
        <v>1</v>
      </c>
    </row>
    <row r="94" spans="1:12" x14ac:dyDescent="0.35">
      <c r="A94">
        <v>93</v>
      </c>
      <c r="B94" t="s">
        <v>16</v>
      </c>
      <c r="C94" t="s">
        <v>9</v>
      </c>
      <c r="D94" t="s">
        <v>10</v>
      </c>
      <c r="E94" t="str">
        <f>IF(logistics_classification_dataset__1[[#This Row],[Shipment_Type]]="Kara","Road",IF(logistics_classification_dataset__1[[#This Row],[Shipment_Type]]="Hava","Air",IF(logistics_classification_dataset__1[[#This Row],[Shipment_Type]]="Deniz","Sea")))</f>
        <v>Road</v>
      </c>
      <c r="F94">
        <v>1089.8900000000001</v>
      </c>
      <c r="G94" t="str">
        <f t="shared" si="2"/>
        <v>1001–1500</v>
      </c>
      <c r="H94" s="1">
        <v>158.30000000000001</v>
      </c>
      <c r="I94" t="str">
        <f t="shared" si="3"/>
        <v>0–500</v>
      </c>
      <c r="J94" t="s">
        <v>11</v>
      </c>
      <c r="K94" t="str">
        <f>IF(logistics_classification_dataset__1[[#This Row],[Customer_Segment]]="Bireysel","Individual",IF(logistics_classification_dataset__1[[#This Row],[Customer_Segment]]="Kurumsal","Corporate"))</f>
        <v>Individual</v>
      </c>
      <c r="L94">
        <v>1</v>
      </c>
    </row>
    <row r="95" spans="1:12" x14ac:dyDescent="0.35">
      <c r="A95">
        <v>94</v>
      </c>
      <c r="B95" t="s">
        <v>17</v>
      </c>
      <c r="C95" t="s">
        <v>22</v>
      </c>
      <c r="D95" t="s">
        <v>19</v>
      </c>
      <c r="E95" t="str">
        <f>IF(logistics_classification_dataset__1[[#This Row],[Shipment_Type]]="Kara","Road",IF(logistics_classification_dataset__1[[#This Row],[Shipment_Type]]="Hava","Air",IF(logistics_classification_dataset__1[[#This Row],[Shipment_Type]]="Deniz","Sea")))</f>
        <v>Sea</v>
      </c>
      <c r="F95">
        <v>204.23</v>
      </c>
      <c r="G95" t="str">
        <f t="shared" si="2"/>
        <v>0–500</v>
      </c>
      <c r="H95" s="1">
        <v>1158.5</v>
      </c>
      <c r="I95" t="str">
        <f t="shared" si="3"/>
        <v>1001–1500</v>
      </c>
      <c r="J95" t="s">
        <v>11</v>
      </c>
      <c r="K95" t="str">
        <f>IF(logistics_classification_dataset__1[[#This Row],[Customer_Segment]]="Bireysel","Individual",IF(logistics_classification_dataset__1[[#This Row],[Customer_Segment]]="Kurumsal","Corporate"))</f>
        <v>Individual</v>
      </c>
      <c r="L95">
        <v>1</v>
      </c>
    </row>
    <row r="96" spans="1:12" x14ac:dyDescent="0.35">
      <c r="A96">
        <v>95</v>
      </c>
      <c r="B96" t="s">
        <v>8</v>
      </c>
      <c r="C96" t="s">
        <v>21</v>
      </c>
      <c r="D96" t="s">
        <v>10</v>
      </c>
      <c r="E96" t="str">
        <f>IF(logistics_classification_dataset__1[[#This Row],[Shipment_Type]]="Kara","Road",IF(logistics_classification_dataset__1[[#This Row],[Shipment_Type]]="Hava","Air",IF(logistics_classification_dataset__1[[#This Row],[Shipment_Type]]="Deniz","Sea")))</f>
        <v>Road</v>
      </c>
      <c r="F96">
        <v>1377.65</v>
      </c>
      <c r="G96" t="str">
        <f t="shared" si="2"/>
        <v>1001–1500</v>
      </c>
      <c r="H96" s="1">
        <v>1320.5</v>
      </c>
      <c r="I96" t="str">
        <f t="shared" si="3"/>
        <v>1001–1500</v>
      </c>
      <c r="J96" t="s">
        <v>11</v>
      </c>
      <c r="K96" t="str">
        <f>IF(logistics_classification_dataset__1[[#This Row],[Customer_Segment]]="Bireysel","Individual",IF(logistics_classification_dataset__1[[#This Row],[Customer_Segment]]="Kurumsal","Corporate"))</f>
        <v>Individual</v>
      </c>
      <c r="L96">
        <v>1</v>
      </c>
    </row>
    <row r="97" spans="1:12" x14ac:dyDescent="0.35">
      <c r="A97">
        <v>96</v>
      </c>
      <c r="B97" t="s">
        <v>17</v>
      </c>
      <c r="C97" t="s">
        <v>18</v>
      </c>
      <c r="D97" t="s">
        <v>19</v>
      </c>
      <c r="E97" t="str">
        <f>IF(logistics_classification_dataset__1[[#This Row],[Shipment_Type]]="Kara","Road",IF(logistics_classification_dataset__1[[#This Row],[Shipment_Type]]="Hava","Air",IF(logistics_classification_dataset__1[[#This Row],[Shipment_Type]]="Deniz","Sea")))</f>
        <v>Sea</v>
      </c>
      <c r="F97">
        <v>487.57</v>
      </c>
      <c r="G97" t="str">
        <f t="shared" si="2"/>
        <v>0–500</v>
      </c>
      <c r="H97" s="1">
        <v>461</v>
      </c>
      <c r="I97" t="str">
        <f t="shared" si="3"/>
        <v>0–500</v>
      </c>
      <c r="J97" t="s">
        <v>14</v>
      </c>
      <c r="K97" t="str">
        <f>IF(logistics_classification_dataset__1[[#This Row],[Customer_Segment]]="Bireysel","Individual",IF(logistics_classification_dataset__1[[#This Row],[Customer_Segment]]="Kurumsal","Corporate"))</f>
        <v>Corporate</v>
      </c>
      <c r="L97">
        <v>1</v>
      </c>
    </row>
    <row r="98" spans="1:12" x14ac:dyDescent="0.35">
      <c r="A98">
        <v>97</v>
      </c>
      <c r="B98" t="s">
        <v>20</v>
      </c>
      <c r="C98" t="s">
        <v>12</v>
      </c>
      <c r="D98" t="s">
        <v>10</v>
      </c>
      <c r="E98" t="str">
        <f>IF(logistics_classification_dataset__1[[#This Row],[Shipment_Type]]="Kara","Road",IF(logistics_classification_dataset__1[[#This Row],[Shipment_Type]]="Hava","Air",IF(logistics_classification_dataset__1[[#This Row],[Shipment_Type]]="Deniz","Sea")))</f>
        <v>Road</v>
      </c>
      <c r="F98">
        <v>1822.58</v>
      </c>
      <c r="G98" t="str">
        <f t="shared" si="2"/>
        <v>1501–2000</v>
      </c>
      <c r="H98" s="1">
        <v>1135.0999999999999</v>
      </c>
      <c r="I98" t="str">
        <f t="shared" si="3"/>
        <v>1001–1500</v>
      </c>
      <c r="J98" t="s">
        <v>11</v>
      </c>
      <c r="K98" t="str">
        <f>IF(logistics_classification_dataset__1[[#This Row],[Customer_Segment]]="Bireysel","Individual",IF(logistics_classification_dataset__1[[#This Row],[Customer_Segment]]="Kurumsal","Corporate"))</f>
        <v>Individual</v>
      </c>
      <c r="L98">
        <v>1</v>
      </c>
    </row>
    <row r="99" spans="1:12" x14ac:dyDescent="0.35">
      <c r="A99">
        <v>98</v>
      </c>
      <c r="B99" t="s">
        <v>8</v>
      </c>
      <c r="C99" t="s">
        <v>9</v>
      </c>
      <c r="D99" t="s">
        <v>10</v>
      </c>
      <c r="E99" t="str">
        <f>IF(logistics_classification_dataset__1[[#This Row],[Shipment_Type]]="Kara","Road",IF(logistics_classification_dataset__1[[#This Row],[Shipment_Type]]="Hava","Air",IF(logistics_classification_dataset__1[[#This Row],[Shipment_Type]]="Deniz","Sea")))</f>
        <v>Road</v>
      </c>
      <c r="F99">
        <v>1677.34</v>
      </c>
      <c r="G99" t="str">
        <f t="shared" si="2"/>
        <v>1501–2000</v>
      </c>
      <c r="H99" s="1">
        <v>1720.2</v>
      </c>
      <c r="I99" t="str">
        <f t="shared" si="3"/>
        <v>1501–2000</v>
      </c>
      <c r="J99" t="s">
        <v>14</v>
      </c>
      <c r="K99" t="str">
        <f>IF(logistics_classification_dataset__1[[#This Row],[Customer_Segment]]="Bireysel","Individual",IF(logistics_classification_dataset__1[[#This Row],[Customer_Segment]]="Kurumsal","Corporate"))</f>
        <v>Corporate</v>
      </c>
      <c r="L99">
        <v>0</v>
      </c>
    </row>
    <row r="100" spans="1:12" x14ac:dyDescent="0.35">
      <c r="A100">
        <v>99</v>
      </c>
      <c r="B100" t="s">
        <v>20</v>
      </c>
      <c r="C100" t="s">
        <v>13</v>
      </c>
      <c r="D100" t="s">
        <v>10</v>
      </c>
      <c r="E100" t="str">
        <f>IF(logistics_classification_dataset__1[[#This Row],[Shipment_Type]]="Kara","Road",IF(logistics_classification_dataset__1[[#This Row],[Shipment_Type]]="Hava","Air",IF(logistics_classification_dataset__1[[#This Row],[Shipment_Type]]="Deniz","Sea")))</f>
        <v>Road</v>
      </c>
      <c r="F100">
        <v>1420.22</v>
      </c>
      <c r="G100" t="str">
        <f t="shared" si="2"/>
        <v>1001–1500</v>
      </c>
      <c r="H100" s="1">
        <v>1678.4</v>
      </c>
      <c r="I100" t="str">
        <f t="shared" si="3"/>
        <v>1501–2000</v>
      </c>
      <c r="J100" t="s">
        <v>11</v>
      </c>
      <c r="K100" t="str">
        <f>IF(logistics_classification_dataset__1[[#This Row],[Customer_Segment]]="Bireysel","Individual",IF(logistics_classification_dataset__1[[#This Row],[Customer_Segment]]="Kurumsal","Corporate"))</f>
        <v>Individual</v>
      </c>
      <c r="L100">
        <v>0</v>
      </c>
    </row>
    <row r="101" spans="1:12" x14ac:dyDescent="0.35">
      <c r="A101">
        <v>100</v>
      </c>
      <c r="B101" t="s">
        <v>13</v>
      </c>
      <c r="C101" t="s">
        <v>8</v>
      </c>
      <c r="D101" t="s">
        <v>15</v>
      </c>
      <c r="E101" t="str">
        <f>IF(logistics_classification_dataset__1[[#This Row],[Shipment_Type]]="Kara","Road",IF(logistics_classification_dataset__1[[#This Row],[Shipment_Type]]="Hava","Air",IF(logistics_classification_dataset__1[[#This Row],[Shipment_Type]]="Deniz","Sea")))</f>
        <v>Air</v>
      </c>
      <c r="F101">
        <v>1897.95</v>
      </c>
      <c r="G101" t="str">
        <f t="shared" si="2"/>
        <v>1501–2000</v>
      </c>
      <c r="H101" s="1">
        <v>1858.3</v>
      </c>
      <c r="I101" t="str">
        <f t="shared" si="3"/>
        <v>1501–2000</v>
      </c>
      <c r="J101" t="s">
        <v>14</v>
      </c>
      <c r="K101" t="str">
        <f>IF(logistics_classification_dataset__1[[#This Row],[Customer_Segment]]="Bireysel","Individual",IF(logistics_classification_dataset__1[[#This Row],[Customer_Segment]]="Kurumsal","Corporate"))</f>
        <v>Corporate</v>
      </c>
      <c r="L101">
        <v>1</v>
      </c>
    </row>
    <row r="102" spans="1:12" x14ac:dyDescent="0.35">
      <c r="A102">
        <v>101</v>
      </c>
      <c r="B102" t="s">
        <v>22</v>
      </c>
      <c r="C102" t="s">
        <v>8</v>
      </c>
      <c r="D102" t="s">
        <v>10</v>
      </c>
      <c r="E102" t="str">
        <f>IF(logistics_classification_dataset__1[[#This Row],[Shipment_Type]]="Kara","Road",IF(logistics_classification_dataset__1[[#This Row],[Shipment_Type]]="Hava","Air",IF(logistics_classification_dataset__1[[#This Row],[Shipment_Type]]="Deniz","Sea")))</f>
        <v>Road</v>
      </c>
      <c r="F102">
        <v>67.69</v>
      </c>
      <c r="G102" t="str">
        <f t="shared" si="2"/>
        <v>0–500</v>
      </c>
      <c r="H102" s="1">
        <v>763.5</v>
      </c>
      <c r="I102" t="str">
        <f t="shared" si="3"/>
        <v>501–1000</v>
      </c>
      <c r="J102" t="s">
        <v>14</v>
      </c>
      <c r="K102" t="str">
        <f>IF(logistics_classification_dataset__1[[#This Row],[Customer_Segment]]="Bireysel","Individual",IF(logistics_classification_dataset__1[[#This Row],[Customer_Segment]]="Kurumsal","Corporate"))</f>
        <v>Corporate</v>
      </c>
      <c r="L102">
        <v>1</v>
      </c>
    </row>
    <row r="103" spans="1:12" x14ac:dyDescent="0.35">
      <c r="A103">
        <v>102</v>
      </c>
      <c r="B103" t="s">
        <v>9</v>
      </c>
      <c r="C103" t="s">
        <v>18</v>
      </c>
      <c r="D103" t="s">
        <v>15</v>
      </c>
      <c r="E103" t="str">
        <f>IF(logistics_classification_dataset__1[[#This Row],[Shipment_Type]]="Kara","Road",IF(logistics_classification_dataset__1[[#This Row],[Shipment_Type]]="Hava","Air",IF(logistics_classification_dataset__1[[#This Row],[Shipment_Type]]="Deniz","Sea")))</f>
        <v>Air</v>
      </c>
      <c r="F103">
        <v>1473.72</v>
      </c>
      <c r="G103" t="str">
        <f t="shared" si="2"/>
        <v>1001–1500</v>
      </c>
      <c r="H103" s="1">
        <v>670.2</v>
      </c>
      <c r="I103" t="str">
        <f t="shared" si="3"/>
        <v>501–1000</v>
      </c>
      <c r="J103" t="s">
        <v>11</v>
      </c>
      <c r="K103" t="str">
        <f>IF(logistics_classification_dataset__1[[#This Row],[Customer_Segment]]="Bireysel","Individual",IF(logistics_classification_dataset__1[[#This Row],[Customer_Segment]]="Kurumsal","Corporate"))</f>
        <v>Individual</v>
      </c>
      <c r="L103">
        <v>1</v>
      </c>
    </row>
    <row r="104" spans="1:12" x14ac:dyDescent="0.35">
      <c r="A104">
        <v>103</v>
      </c>
      <c r="B104" t="s">
        <v>8</v>
      </c>
      <c r="C104" t="s">
        <v>17</v>
      </c>
      <c r="D104" t="s">
        <v>15</v>
      </c>
      <c r="E104" t="str">
        <f>IF(logistics_classification_dataset__1[[#This Row],[Shipment_Type]]="Kara","Road",IF(logistics_classification_dataset__1[[#This Row],[Shipment_Type]]="Hava","Air",IF(logistics_classification_dataset__1[[#This Row],[Shipment_Type]]="Deniz","Sea")))</f>
        <v>Air</v>
      </c>
      <c r="F104">
        <v>663.83</v>
      </c>
      <c r="G104" t="str">
        <f t="shared" si="2"/>
        <v>501–1000</v>
      </c>
      <c r="H104" s="1">
        <v>1511.4</v>
      </c>
      <c r="I104" t="str">
        <f t="shared" si="3"/>
        <v>1501–2000</v>
      </c>
      <c r="J104" t="s">
        <v>11</v>
      </c>
      <c r="K104" t="str">
        <f>IF(logistics_classification_dataset__1[[#This Row],[Customer_Segment]]="Bireysel","Individual",IF(logistics_classification_dataset__1[[#This Row],[Customer_Segment]]="Kurumsal","Corporate"))</f>
        <v>Individual</v>
      </c>
      <c r="L104">
        <v>1</v>
      </c>
    </row>
    <row r="105" spans="1:12" x14ac:dyDescent="0.35">
      <c r="A105">
        <v>104</v>
      </c>
      <c r="B105" t="s">
        <v>8</v>
      </c>
      <c r="C105" t="s">
        <v>17</v>
      </c>
      <c r="D105" t="s">
        <v>10</v>
      </c>
      <c r="E105" t="str">
        <f>IF(logistics_classification_dataset__1[[#This Row],[Shipment_Type]]="Kara","Road",IF(logistics_classification_dataset__1[[#This Row],[Shipment_Type]]="Hava","Air",IF(logistics_classification_dataset__1[[#This Row],[Shipment_Type]]="Deniz","Sea")))</f>
        <v>Road</v>
      </c>
      <c r="F105">
        <v>181.26</v>
      </c>
      <c r="G105" t="str">
        <f t="shared" si="2"/>
        <v>0–500</v>
      </c>
      <c r="H105" s="1">
        <v>890.7</v>
      </c>
      <c r="I105" t="str">
        <f t="shared" si="3"/>
        <v>501–1000</v>
      </c>
      <c r="J105" t="s">
        <v>11</v>
      </c>
      <c r="K105" t="str">
        <f>IF(logistics_classification_dataset__1[[#This Row],[Customer_Segment]]="Bireysel","Individual",IF(logistics_classification_dataset__1[[#This Row],[Customer_Segment]]="Kurumsal","Corporate"))</f>
        <v>Individual</v>
      </c>
      <c r="L105">
        <v>0</v>
      </c>
    </row>
    <row r="106" spans="1:12" x14ac:dyDescent="0.35">
      <c r="A106">
        <v>105</v>
      </c>
      <c r="B106" t="s">
        <v>13</v>
      </c>
      <c r="C106" t="s">
        <v>18</v>
      </c>
      <c r="D106" t="s">
        <v>19</v>
      </c>
      <c r="E106" t="str">
        <f>IF(logistics_classification_dataset__1[[#This Row],[Shipment_Type]]="Kara","Road",IF(logistics_classification_dataset__1[[#This Row],[Shipment_Type]]="Hava","Air",IF(logistics_classification_dataset__1[[#This Row],[Shipment_Type]]="Deniz","Sea")))</f>
        <v>Sea</v>
      </c>
      <c r="F106">
        <v>537.02</v>
      </c>
      <c r="G106" t="str">
        <f t="shared" si="2"/>
        <v>501–1000</v>
      </c>
      <c r="H106" s="1">
        <v>220.7</v>
      </c>
      <c r="I106" t="str">
        <f t="shared" si="3"/>
        <v>0–500</v>
      </c>
      <c r="J106" t="s">
        <v>11</v>
      </c>
      <c r="K106" t="str">
        <f>IF(logistics_classification_dataset__1[[#This Row],[Customer_Segment]]="Bireysel","Individual",IF(logistics_classification_dataset__1[[#This Row],[Customer_Segment]]="Kurumsal","Corporate"))</f>
        <v>Individual</v>
      </c>
      <c r="L106">
        <v>1</v>
      </c>
    </row>
    <row r="107" spans="1:12" x14ac:dyDescent="0.35">
      <c r="A107">
        <v>106</v>
      </c>
      <c r="B107" t="s">
        <v>16</v>
      </c>
      <c r="C107" t="s">
        <v>22</v>
      </c>
      <c r="D107" t="s">
        <v>15</v>
      </c>
      <c r="E107" t="str">
        <f>IF(logistics_classification_dataset__1[[#This Row],[Shipment_Type]]="Kara","Road",IF(logistics_classification_dataset__1[[#This Row],[Shipment_Type]]="Hava","Air",IF(logistics_classification_dataset__1[[#This Row],[Shipment_Type]]="Deniz","Sea")))</f>
        <v>Air</v>
      </c>
      <c r="F107">
        <v>1451.09</v>
      </c>
      <c r="G107" t="str">
        <f t="shared" si="2"/>
        <v>1001–1500</v>
      </c>
      <c r="H107" s="1">
        <v>601.5</v>
      </c>
      <c r="I107" t="str">
        <f t="shared" si="3"/>
        <v>501–1000</v>
      </c>
      <c r="J107" t="s">
        <v>11</v>
      </c>
      <c r="K107" t="str">
        <f>IF(logistics_classification_dataset__1[[#This Row],[Customer_Segment]]="Bireysel","Individual",IF(logistics_classification_dataset__1[[#This Row],[Customer_Segment]]="Kurumsal","Corporate"))</f>
        <v>Individual</v>
      </c>
      <c r="L107">
        <v>1</v>
      </c>
    </row>
    <row r="108" spans="1:12" x14ac:dyDescent="0.35">
      <c r="A108">
        <v>107</v>
      </c>
      <c r="B108" t="s">
        <v>18</v>
      </c>
      <c r="C108" t="s">
        <v>9</v>
      </c>
      <c r="D108" t="s">
        <v>15</v>
      </c>
      <c r="E108" t="str">
        <f>IF(logistics_classification_dataset__1[[#This Row],[Shipment_Type]]="Kara","Road",IF(logistics_classification_dataset__1[[#This Row],[Shipment_Type]]="Hava","Air",IF(logistics_classification_dataset__1[[#This Row],[Shipment_Type]]="Deniz","Sea")))</f>
        <v>Air</v>
      </c>
      <c r="F108">
        <v>1755.91</v>
      </c>
      <c r="G108" t="str">
        <f t="shared" si="2"/>
        <v>1501–2000</v>
      </c>
      <c r="H108" s="1">
        <v>866.2</v>
      </c>
      <c r="I108" t="str">
        <f t="shared" si="3"/>
        <v>501–1000</v>
      </c>
      <c r="J108" t="s">
        <v>11</v>
      </c>
      <c r="K108" t="str">
        <f>IF(logistics_classification_dataset__1[[#This Row],[Customer_Segment]]="Bireysel","Individual",IF(logistics_classification_dataset__1[[#This Row],[Customer_Segment]]="Kurumsal","Corporate"))</f>
        <v>Individual</v>
      </c>
      <c r="L108">
        <v>1</v>
      </c>
    </row>
    <row r="109" spans="1:12" x14ac:dyDescent="0.35">
      <c r="A109">
        <v>108</v>
      </c>
      <c r="B109" t="s">
        <v>13</v>
      </c>
      <c r="C109" t="s">
        <v>8</v>
      </c>
      <c r="D109" t="s">
        <v>10</v>
      </c>
      <c r="E109" t="str">
        <f>IF(logistics_classification_dataset__1[[#This Row],[Shipment_Type]]="Kara","Road",IF(logistics_classification_dataset__1[[#This Row],[Shipment_Type]]="Hava","Air",IF(logistics_classification_dataset__1[[#This Row],[Shipment_Type]]="Deniz","Sea")))</f>
        <v>Road</v>
      </c>
      <c r="F109">
        <v>88.11</v>
      </c>
      <c r="G109" t="str">
        <f t="shared" si="2"/>
        <v>0–500</v>
      </c>
      <c r="H109" s="1">
        <v>620.4</v>
      </c>
      <c r="I109" t="str">
        <f t="shared" si="3"/>
        <v>501–1000</v>
      </c>
      <c r="J109" t="s">
        <v>11</v>
      </c>
      <c r="K109" t="str">
        <f>IF(logistics_classification_dataset__1[[#This Row],[Customer_Segment]]="Bireysel","Individual",IF(logistics_classification_dataset__1[[#This Row],[Customer_Segment]]="Kurumsal","Corporate"))</f>
        <v>Individual</v>
      </c>
      <c r="L109">
        <v>1</v>
      </c>
    </row>
    <row r="110" spans="1:12" x14ac:dyDescent="0.35">
      <c r="A110">
        <v>109</v>
      </c>
      <c r="B110" t="s">
        <v>21</v>
      </c>
      <c r="C110" t="s">
        <v>8</v>
      </c>
      <c r="D110" t="s">
        <v>10</v>
      </c>
      <c r="E110" t="str">
        <f>IF(logistics_classification_dataset__1[[#This Row],[Shipment_Type]]="Kara","Road",IF(logistics_classification_dataset__1[[#This Row],[Shipment_Type]]="Hava","Air",IF(logistics_classification_dataset__1[[#This Row],[Shipment_Type]]="Deniz","Sea")))</f>
        <v>Road</v>
      </c>
      <c r="F110">
        <v>798.31</v>
      </c>
      <c r="G110" t="str">
        <f t="shared" si="2"/>
        <v>501–1000</v>
      </c>
      <c r="H110" s="1">
        <v>697.8</v>
      </c>
      <c r="I110" t="str">
        <f t="shared" si="3"/>
        <v>501–1000</v>
      </c>
      <c r="J110" t="s">
        <v>11</v>
      </c>
      <c r="K110" t="str">
        <f>IF(logistics_classification_dataset__1[[#This Row],[Customer_Segment]]="Bireysel","Individual",IF(logistics_classification_dataset__1[[#This Row],[Customer_Segment]]="Kurumsal","Corporate"))</f>
        <v>Individual</v>
      </c>
      <c r="L110">
        <v>0</v>
      </c>
    </row>
    <row r="111" spans="1:12" x14ac:dyDescent="0.35">
      <c r="A111">
        <v>110</v>
      </c>
      <c r="B111" t="s">
        <v>18</v>
      </c>
      <c r="C111" t="s">
        <v>22</v>
      </c>
      <c r="D111" t="s">
        <v>10</v>
      </c>
      <c r="E111" t="str">
        <f>IF(logistics_classification_dataset__1[[#This Row],[Shipment_Type]]="Kara","Road",IF(logistics_classification_dataset__1[[#This Row],[Shipment_Type]]="Hava","Air",IF(logistics_classification_dataset__1[[#This Row],[Shipment_Type]]="Deniz","Sea")))</f>
        <v>Road</v>
      </c>
      <c r="F111">
        <v>1525.81</v>
      </c>
      <c r="G111" t="str">
        <f t="shared" si="2"/>
        <v>1501–2000</v>
      </c>
      <c r="H111" s="1">
        <v>622.9</v>
      </c>
      <c r="I111" t="str">
        <f t="shared" si="3"/>
        <v>501–1000</v>
      </c>
      <c r="J111" t="s">
        <v>11</v>
      </c>
      <c r="K111" t="str">
        <f>IF(logistics_classification_dataset__1[[#This Row],[Customer_Segment]]="Bireysel","Individual",IF(logistics_classification_dataset__1[[#This Row],[Customer_Segment]]="Kurumsal","Corporate"))</f>
        <v>Individual</v>
      </c>
      <c r="L111">
        <v>0</v>
      </c>
    </row>
    <row r="112" spans="1:12" x14ac:dyDescent="0.35">
      <c r="A112">
        <v>111</v>
      </c>
      <c r="B112" t="s">
        <v>9</v>
      </c>
      <c r="C112" t="s">
        <v>8</v>
      </c>
      <c r="D112" t="s">
        <v>10</v>
      </c>
      <c r="E112" t="str">
        <f>IF(logistics_classification_dataset__1[[#This Row],[Shipment_Type]]="Kara","Road",IF(logistics_classification_dataset__1[[#This Row],[Shipment_Type]]="Hava","Air",IF(logistics_classification_dataset__1[[#This Row],[Shipment_Type]]="Deniz","Sea")))</f>
        <v>Road</v>
      </c>
      <c r="F112">
        <v>912.56</v>
      </c>
      <c r="G112" t="str">
        <f t="shared" si="2"/>
        <v>501–1000</v>
      </c>
      <c r="H112" s="1">
        <v>130.9</v>
      </c>
      <c r="I112" t="str">
        <f t="shared" si="3"/>
        <v>0–500</v>
      </c>
      <c r="J112" t="s">
        <v>11</v>
      </c>
      <c r="K112" t="str">
        <f>IF(logistics_classification_dataset__1[[#This Row],[Customer_Segment]]="Bireysel","Individual",IF(logistics_classification_dataset__1[[#This Row],[Customer_Segment]]="Kurumsal","Corporate"))</f>
        <v>Individual</v>
      </c>
      <c r="L112">
        <v>1</v>
      </c>
    </row>
    <row r="113" spans="1:12" x14ac:dyDescent="0.35">
      <c r="A113">
        <v>112</v>
      </c>
      <c r="B113" t="s">
        <v>18</v>
      </c>
      <c r="C113" t="s">
        <v>13</v>
      </c>
      <c r="D113" t="s">
        <v>10</v>
      </c>
      <c r="E113" t="str">
        <f>IF(logistics_classification_dataset__1[[#This Row],[Shipment_Type]]="Kara","Road",IF(logistics_classification_dataset__1[[#This Row],[Shipment_Type]]="Hava","Air",IF(logistics_classification_dataset__1[[#This Row],[Shipment_Type]]="Deniz","Sea")))</f>
        <v>Road</v>
      </c>
      <c r="F113">
        <v>538.16999999999996</v>
      </c>
      <c r="G113" t="str">
        <f t="shared" si="2"/>
        <v>501–1000</v>
      </c>
      <c r="H113" s="1">
        <v>1292.3</v>
      </c>
      <c r="I113" t="str">
        <f t="shared" si="3"/>
        <v>1001–1500</v>
      </c>
      <c r="J113" t="s">
        <v>11</v>
      </c>
      <c r="K113" t="str">
        <f>IF(logistics_classification_dataset__1[[#This Row],[Customer_Segment]]="Bireysel","Individual",IF(logistics_classification_dataset__1[[#This Row],[Customer_Segment]]="Kurumsal","Corporate"))</f>
        <v>Individual</v>
      </c>
      <c r="L113">
        <v>1</v>
      </c>
    </row>
    <row r="114" spans="1:12" x14ac:dyDescent="0.35">
      <c r="A114">
        <v>113</v>
      </c>
      <c r="B114" t="s">
        <v>16</v>
      </c>
      <c r="C114" t="s">
        <v>9</v>
      </c>
      <c r="D114" t="s">
        <v>15</v>
      </c>
      <c r="E114" t="str">
        <f>IF(logistics_classification_dataset__1[[#This Row],[Shipment_Type]]="Kara","Road",IF(logistics_classification_dataset__1[[#This Row],[Shipment_Type]]="Hava","Air",IF(logistics_classification_dataset__1[[#This Row],[Shipment_Type]]="Deniz","Sea")))</f>
        <v>Air</v>
      </c>
      <c r="F114">
        <v>443.51</v>
      </c>
      <c r="G114" t="str">
        <f t="shared" si="2"/>
        <v>0–500</v>
      </c>
      <c r="H114" s="1">
        <v>1214.7</v>
      </c>
      <c r="I114" t="str">
        <f t="shared" si="3"/>
        <v>1001–1500</v>
      </c>
      <c r="J114" t="s">
        <v>11</v>
      </c>
      <c r="K114" t="str">
        <f>IF(logistics_classification_dataset__1[[#This Row],[Customer_Segment]]="Bireysel","Individual",IF(logistics_classification_dataset__1[[#This Row],[Customer_Segment]]="Kurumsal","Corporate"))</f>
        <v>Individual</v>
      </c>
      <c r="L114">
        <v>0</v>
      </c>
    </row>
    <row r="115" spans="1:12" x14ac:dyDescent="0.35">
      <c r="A115">
        <v>114</v>
      </c>
      <c r="B115" t="s">
        <v>18</v>
      </c>
      <c r="C115" t="s">
        <v>20</v>
      </c>
      <c r="D115" t="s">
        <v>10</v>
      </c>
      <c r="E115" t="str">
        <f>IF(logistics_classification_dataset__1[[#This Row],[Shipment_Type]]="Kara","Road",IF(logistics_classification_dataset__1[[#This Row],[Shipment_Type]]="Hava","Air",IF(logistics_classification_dataset__1[[#This Row],[Shipment_Type]]="Deniz","Sea")))</f>
        <v>Road</v>
      </c>
      <c r="F115">
        <v>267.38</v>
      </c>
      <c r="G115" t="str">
        <f t="shared" si="2"/>
        <v>0–500</v>
      </c>
      <c r="H115" s="1">
        <v>1324.1</v>
      </c>
      <c r="I115" t="str">
        <f t="shared" si="3"/>
        <v>1001–1500</v>
      </c>
      <c r="J115" t="s">
        <v>11</v>
      </c>
      <c r="K115" t="str">
        <f>IF(logistics_classification_dataset__1[[#This Row],[Customer_Segment]]="Bireysel","Individual",IF(logistics_classification_dataset__1[[#This Row],[Customer_Segment]]="Kurumsal","Corporate"))</f>
        <v>Individual</v>
      </c>
      <c r="L115">
        <v>0</v>
      </c>
    </row>
    <row r="116" spans="1:12" x14ac:dyDescent="0.35">
      <c r="A116">
        <v>115</v>
      </c>
      <c r="B116" t="s">
        <v>9</v>
      </c>
      <c r="C116" t="s">
        <v>8</v>
      </c>
      <c r="D116" t="s">
        <v>10</v>
      </c>
      <c r="E116" t="str">
        <f>IF(logistics_classification_dataset__1[[#This Row],[Shipment_Type]]="Kara","Road",IF(logistics_classification_dataset__1[[#This Row],[Shipment_Type]]="Hava","Air",IF(logistics_classification_dataset__1[[#This Row],[Shipment_Type]]="Deniz","Sea")))</f>
        <v>Road</v>
      </c>
      <c r="F116">
        <v>1714.97</v>
      </c>
      <c r="G116" t="str">
        <f t="shared" si="2"/>
        <v>1501–2000</v>
      </c>
      <c r="H116" s="1">
        <v>425</v>
      </c>
      <c r="I116" t="str">
        <f t="shared" si="3"/>
        <v>0–500</v>
      </c>
      <c r="J116" t="s">
        <v>11</v>
      </c>
      <c r="K116" t="str">
        <f>IF(logistics_classification_dataset__1[[#This Row],[Customer_Segment]]="Bireysel","Individual",IF(logistics_classification_dataset__1[[#This Row],[Customer_Segment]]="Kurumsal","Corporate"))</f>
        <v>Individual</v>
      </c>
      <c r="L116">
        <v>1</v>
      </c>
    </row>
    <row r="117" spans="1:12" x14ac:dyDescent="0.35">
      <c r="A117">
        <v>116</v>
      </c>
      <c r="B117" t="s">
        <v>16</v>
      </c>
      <c r="C117" t="s">
        <v>18</v>
      </c>
      <c r="D117" t="s">
        <v>19</v>
      </c>
      <c r="E117" t="str">
        <f>IF(logistics_classification_dataset__1[[#This Row],[Shipment_Type]]="Kara","Road",IF(logistics_classification_dataset__1[[#This Row],[Shipment_Type]]="Hava","Air",IF(logistics_classification_dataset__1[[#This Row],[Shipment_Type]]="Deniz","Sea")))</f>
        <v>Sea</v>
      </c>
      <c r="F117">
        <v>1152.83</v>
      </c>
      <c r="G117" t="str">
        <f t="shared" si="2"/>
        <v>1001–1500</v>
      </c>
      <c r="H117" s="1">
        <v>626.5</v>
      </c>
      <c r="I117" t="str">
        <f t="shared" si="3"/>
        <v>501–1000</v>
      </c>
      <c r="J117" t="s">
        <v>14</v>
      </c>
      <c r="K117" t="str">
        <f>IF(logistics_classification_dataset__1[[#This Row],[Customer_Segment]]="Bireysel","Individual",IF(logistics_classification_dataset__1[[#This Row],[Customer_Segment]]="Kurumsal","Corporate"))</f>
        <v>Corporate</v>
      </c>
      <c r="L117">
        <v>1</v>
      </c>
    </row>
    <row r="118" spans="1:12" x14ac:dyDescent="0.35">
      <c r="A118">
        <v>117</v>
      </c>
      <c r="B118" t="s">
        <v>17</v>
      </c>
      <c r="C118" t="s">
        <v>13</v>
      </c>
      <c r="D118" t="s">
        <v>15</v>
      </c>
      <c r="E118" t="str">
        <f>IF(logistics_classification_dataset__1[[#This Row],[Shipment_Type]]="Kara","Road",IF(logistics_classification_dataset__1[[#This Row],[Shipment_Type]]="Hava","Air",IF(logistics_classification_dataset__1[[#This Row],[Shipment_Type]]="Deniz","Sea")))</f>
        <v>Air</v>
      </c>
      <c r="F118">
        <v>157.38999999999999</v>
      </c>
      <c r="G118" t="str">
        <f t="shared" si="2"/>
        <v>0–500</v>
      </c>
      <c r="H118" s="1">
        <v>1258.3</v>
      </c>
      <c r="I118" t="str">
        <f t="shared" si="3"/>
        <v>1001–1500</v>
      </c>
      <c r="J118" t="s">
        <v>11</v>
      </c>
      <c r="K118" t="str">
        <f>IF(logistics_classification_dataset__1[[#This Row],[Customer_Segment]]="Bireysel","Individual",IF(logistics_classification_dataset__1[[#This Row],[Customer_Segment]]="Kurumsal","Corporate"))</f>
        <v>Individual</v>
      </c>
      <c r="L118">
        <v>1</v>
      </c>
    </row>
    <row r="119" spans="1:12" x14ac:dyDescent="0.35">
      <c r="A119">
        <v>118</v>
      </c>
      <c r="B119" t="s">
        <v>8</v>
      </c>
      <c r="C119" t="s">
        <v>20</v>
      </c>
      <c r="D119" t="s">
        <v>10</v>
      </c>
      <c r="E119" t="str">
        <f>IF(logistics_classification_dataset__1[[#This Row],[Shipment_Type]]="Kara","Road",IF(logistics_classification_dataset__1[[#This Row],[Shipment_Type]]="Hava","Air",IF(logistics_classification_dataset__1[[#This Row],[Shipment_Type]]="Deniz","Sea")))</f>
        <v>Road</v>
      </c>
      <c r="F119">
        <v>768.25</v>
      </c>
      <c r="G119" t="str">
        <f t="shared" si="2"/>
        <v>501–1000</v>
      </c>
      <c r="H119" s="1">
        <v>1219.3</v>
      </c>
      <c r="I119" t="str">
        <f t="shared" si="3"/>
        <v>1001–1500</v>
      </c>
      <c r="J119" t="s">
        <v>11</v>
      </c>
      <c r="K119" t="str">
        <f>IF(logistics_classification_dataset__1[[#This Row],[Customer_Segment]]="Bireysel","Individual",IF(logistics_classification_dataset__1[[#This Row],[Customer_Segment]]="Kurumsal","Corporate"))</f>
        <v>Individual</v>
      </c>
      <c r="L119">
        <v>1</v>
      </c>
    </row>
    <row r="120" spans="1:12" x14ac:dyDescent="0.35">
      <c r="A120">
        <v>119</v>
      </c>
      <c r="B120" t="s">
        <v>8</v>
      </c>
      <c r="C120" t="s">
        <v>13</v>
      </c>
      <c r="D120" t="s">
        <v>15</v>
      </c>
      <c r="E120" t="str">
        <f>IF(logistics_classification_dataset__1[[#This Row],[Shipment_Type]]="Kara","Road",IF(logistics_classification_dataset__1[[#This Row],[Shipment_Type]]="Hava","Air",IF(logistics_classification_dataset__1[[#This Row],[Shipment_Type]]="Deniz","Sea")))</f>
        <v>Air</v>
      </c>
      <c r="F120">
        <v>738.63</v>
      </c>
      <c r="G120" t="str">
        <f t="shared" si="2"/>
        <v>501–1000</v>
      </c>
      <c r="H120" s="1">
        <v>1037.3</v>
      </c>
      <c r="I120" t="str">
        <f t="shared" si="3"/>
        <v>1001–1500</v>
      </c>
      <c r="J120" t="s">
        <v>11</v>
      </c>
      <c r="K120" t="str">
        <f>IF(logistics_classification_dataset__1[[#This Row],[Customer_Segment]]="Bireysel","Individual",IF(logistics_classification_dataset__1[[#This Row],[Customer_Segment]]="Kurumsal","Corporate"))</f>
        <v>Individual</v>
      </c>
      <c r="L120">
        <v>0</v>
      </c>
    </row>
    <row r="121" spans="1:12" x14ac:dyDescent="0.35">
      <c r="A121">
        <v>120</v>
      </c>
      <c r="B121" t="s">
        <v>20</v>
      </c>
      <c r="C121" t="s">
        <v>21</v>
      </c>
      <c r="D121" t="s">
        <v>10</v>
      </c>
      <c r="E121" t="str">
        <f>IF(logistics_classification_dataset__1[[#This Row],[Shipment_Type]]="Kara","Road",IF(logistics_classification_dataset__1[[#This Row],[Shipment_Type]]="Hava","Air",IF(logistics_classification_dataset__1[[#This Row],[Shipment_Type]]="Deniz","Sea")))</f>
        <v>Road</v>
      </c>
      <c r="F121">
        <v>367.57</v>
      </c>
      <c r="G121" t="str">
        <f t="shared" si="2"/>
        <v>0–500</v>
      </c>
      <c r="H121" s="1">
        <v>733.3</v>
      </c>
      <c r="I121" t="str">
        <f t="shared" si="3"/>
        <v>501–1000</v>
      </c>
      <c r="J121" t="s">
        <v>14</v>
      </c>
      <c r="K121" t="str">
        <f>IF(logistics_classification_dataset__1[[#This Row],[Customer_Segment]]="Bireysel","Individual",IF(logistics_classification_dataset__1[[#This Row],[Customer_Segment]]="Kurumsal","Corporate"))</f>
        <v>Corporate</v>
      </c>
      <c r="L121">
        <v>1</v>
      </c>
    </row>
    <row r="122" spans="1:12" x14ac:dyDescent="0.35">
      <c r="A122">
        <v>121</v>
      </c>
      <c r="B122" t="s">
        <v>17</v>
      </c>
      <c r="C122" t="s">
        <v>20</v>
      </c>
      <c r="D122" t="s">
        <v>10</v>
      </c>
      <c r="E122" t="str">
        <f>IF(logistics_classification_dataset__1[[#This Row],[Shipment_Type]]="Kara","Road",IF(logistics_classification_dataset__1[[#This Row],[Shipment_Type]]="Hava","Air",IF(logistics_classification_dataset__1[[#This Row],[Shipment_Type]]="Deniz","Sea")))</f>
        <v>Road</v>
      </c>
      <c r="F122">
        <v>873.84</v>
      </c>
      <c r="G122" t="str">
        <f t="shared" si="2"/>
        <v>501–1000</v>
      </c>
      <c r="H122" s="1">
        <v>1830.2</v>
      </c>
      <c r="I122" t="str">
        <f t="shared" si="3"/>
        <v>1501–2000</v>
      </c>
      <c r="J122" t="s">
        <v>14</v>
      </c>
      <c r="K122" t="str">
        <f>IF(logistics_classification_dataset__1[[#This Row],[Customer_Segment]]="Bireysel","Individual",IF(logistics_classification_dataset__1[[#This Row],[Customer_Segment]]="Kurumsal","Corporate"))</f>
        <v>Corporate</v>
      </c>
      <c r="L122">
        <v>0</v>
      </c>
    </row>
    <row r="123" spans="1:12" x14ac:dyDescent="0.35">
      <c r="A123">
        <v>122</v>
      </c>
      <c r="B123" t="s">
        <v>17</v>
      </c>
      <c r="C123" t="s">
        <v>16</v>
      </c>
      <c r="D123" t="s">
        <v>15</v>
      </c>
      <c r="E123" t="str">
        <f>IF(logistics_classification_dataset__1[[#This Row],[Shipment_Type]]="Kara","Road",IF(logistics_classification_dataset__1[[#This Row],[Shipment_Type]]="Hava","Air",IF(logistics_classification_dataset__1[[#This Row],[Shipment_Type]]="Deniz","Sea")))</f>
        <v>Air</v>
      </c>
      <c r="F123">
        <v>667.54</v>
      </c>
      <c r="G123" t="str">
        <f t="shared" si="2"/>
        <v>501–1000</v>
      </c>
      <c r="H123" s="1">
        <v>712.6</v>
      </c>
      <c r="I123" t="str">
        <f t="shared" si="3"/>
        <v>501–1000</v>
      </c>
      <c r="J123" t="s">
        <v>14</v>
      </c>
      <c r="K123" t="str">
        <f>IF(logistics_classification_dataset__1[[#This Row],[Customer_Segment]]="Bireysel","Individual",IF(logistics_classification_dataset__1[[#This Row],[Customer_Segment]]="Kurumsal","Corporate"))</f>
        <v>Corporate</v>
      </c>
      <c r="L123">
        <v>1</v>
      </c>
    </row>
    <row r="124" spans="1:12" x14ac:dyDescent="0.35">
      <c r="A124">
        <v>123</v>
      </c>
      <c r="B124" t="s">
        <v>18</v>
      </c>
      <c r="C124" t="s">
        <v>20</v>
      </c>
      <c r="D124" t="s">
        <v>10</v>
      </c>
      <c r="E124" t="str">
        <f>IF(logistics_classification_dataset__1[[#This Row],[Shipment_Type]]="Kara","Road",IF(logistics_classification_dataset__1[[#This Row],[Shipment_Type]]="Hava","Air",IF(logistics_classification_dataset__1[[#This Row],[Shipment_Type]]="Deniz","Sea")))</f>
        <v>Road</v>
      </c>
      <c r="F124">
        <v>68.69</v>
      </c>
      <c r="G124" t="str">
        <f t="shared" si="2"/>
        <v>0–500</v>
      </c>
      <c r="H124" s="1">
        <v>938.5</v>
      </c>
      <c r="I124" t="str">
        <f t="shared" si="3"/>
        <v>501–1000</v>
      </c>
      <c r="J124" t="s">
        <v>11</v>
      </c>
      <c r="K124" t="str">
        <f>IF(logistics_classification_dataset__1[[#This Row],[Customer_Segment]]="Bireysel","Individual",IF(logistics_classification_dataset__1[[#This Row],[Customer_Segment]]="Kurumsal","Corporate"))</f>
        <v>Individual</v>
      </c>
      <c r="L124">
        <v>1</v>
      </c>
    </row>
    <row r="125" spans="1:12" x14ac:dyDescent="0.35">
      <c r="A125">
        <v>124</v>
      </c>
      <c r="B125" t="s">
        <v>8</v>
      </c>
      <c r="C125" t="s">
        <v>18</v>
      </c>
      <c r="D125" t="s">
        <v>10</v>
      </c>
      <c r="E125" t="str">
        <f>IF(logistics_classification_dataset__1[[#This Row],[Shipment_Type]]="Kara","Road",IF(logistics_classification_dataset__1[[#This Row],[Shipment_Type]]="Hava","Air",IF(logistics_classification_dataset__1[[#This Row],[Shipment_Type]]="Deniz","Sea")))</f>
        <v>Road</v>
      </c>
      <c r="F125">
        <v>1479.36</v>
      </c>
      <c r="G125" t="str">
        <f t="shared" si="2"/>
        <v>1001–1500</v>
      </c>
      <c r="H125" s="1">
        <v>1372.3</v>
      </c>
      <c r="I125" t="str">
        <f t="shared" si="3"/>
        <v>1001–1500</v>
      </c>
      <c r="J125" t="s">
        <v>11</v>
      </c>
      <c r="K125" t="str">
        <f>IF(logistics_classification_dataset__1[[#This Row],[Customer_Segment]]="Bireysel","Individual",IF(logistics_classification_dataset__1[[#This Row],[Customer_Segment]]="Kurumsal","Corporate"))</f>
        <v>Individual</v>
      </c>
      <c r="L125">
        <v>1</v>
      </c>
    </row>
    <row r="126" spans="1:12" x14ac:dyDescent="0.35">
      <c r="A126">
        <v>125</v>
      </c>
      <c r="B126" t="s">
        <v>9</v>
      </c>
      <c r="C126" t="s">
        <v>22</v>
      </c>
      <c r="D126" t="s">
        <v>10</v>
      </c>
      <c r="E126" t="str">
        <f>IF(logistics_classification_dataset__1[[#This Row],[Shipment_Type]]="Kara","Road",IF(logistics_classification_dataset__1[[#This Row],[Shipment_Type]]="Hava","Air",IF(logistics_classification_dataset__1[[#This Row],[Shipment_Type]]="Deniz","Sea")))</f>
        <v>Road</v>
      </c>
      <c r="F126">
        <v>450.41</v>
      </c>
      <c r="G126" t="str">
        <f t="shared" si="2"/>
        <v>0–500</v>
      </c>
      <c r="H126" s="1">
        <v>1108.9000000000001</v>
      </c>
      <c r="I126" t="str">
        <f t="shared" si="3"/>
        <v>1001–1500</v>
      </c>
      <c r="J126" t="s">
        <v>11</v>
      </c>
      <c r="K126" t="str">
        <f>IF(logistics_classification_dataset__1[[#This Row],[Customer_Segment]]="Bireysel","Individual",IF(logistics_classification_dataset__1[[#This Row],[Customer_Segment]]="Kurumsal","Corporate"))</f>
        <v>Individual</v>
      </c>
      <c r="L126">
        <v>1</v>
      </c>
    </row>
    <row r="127" spans="1:12" x14ac:dyDescent="0.35">
      <c r="A127">
        <v>126</v>
      </c>
      <c r="B127" t="s">
        <v>12</v>
      </c>
      <c r="C127" t="s">
        <v>13</v>
      </c>
      <c r="D127" t="s">
        <v>10</v>
      </c>
      <c r="E127" t="str">
        <f>IF(logistics_classification_dataset__1[[#This Row],[Shipment_Type]]="Kara","Road",IF(logistics_classification_dataset__1[[#This Row],[Shipment_Type]]="Hava","Air",IF(logistics_classification_dataset__1[[#This Row],[Shipment_Type]]="Deniz","Sea")))</f>
        <v>Road</v>
      </c>
      <c r="F127">
        <v>1285.51</v>
      </c>
      <c r="G127" t="str">
        <f t="shared" si="2"/>
        <v>1001–1500</v>
      </c>
      <c r="H127" s="1">
        <v>726.4</v>
      </c>
      <c r="I127" t="str">
        <f t="shared" si="3"/>
        <v>501–1000</v>
      </c>
      <c r="J127" t="s">
        <v>11</v>
      </c>
      <c r="K127" t="str">
        <f>IF(logistics_classification_dataset__1[[#This Row],[Customer_Segment]]="Bireysel","Individual",IF(logistics_classification_dataset__1[[#This Row],[Customer_Segment]]="Kurumsal","Corporate"))</f>
        <v>Individual</v>
      </c>
      <c r="L127">
        <v>1</v>
      </c>
    </row>
    <row r="128" spans="1:12" x14ac:dyDescent="0.35">
      <c r="A128">
        <v>127</v>
      </c>
      <c r="B128" t="s">
        <v>12</v>
      </c>
      <c r="C128" t="s">
        <v>22</v>
      </c>
      <c r="D128" t="s">
        <v>10</v>
      </c>
      <c r="E128" t="str">
        <f>IF(logistics_classification_dataset__1[[#This Row],[Shipment_Type]]="Kara","Road",IF(logistics_classification_dataset__1[[#This Row],[Shipment_Type]]="Hava","Air",IF(logistics_classification_dataset__1[[#This Row],[Shipment_Type]]="Deniz","Sea")))</f>
        <v>Road</v>
      </c>
      <c r="F128">
        <v>1143.45</v>
      </c>
      <c r="G128" t="str">
        <f t="shared" si="2"/>
        <v>1001–1500</v>
      </c>
      <c r="H128" s="1">
        <v>899.5</v>
      </c>
      <c r="I128" t="str">
        <f t="shared" si="3"/>
        <v>501–1000</v>
      </c>
      <c r="J128" t="s">
        <v>14</v>
      </c>
      <c r="K128" t="str">
        <f>IF(logistics_classification_dataset__1[[#This Row],[Customer_Segment]]="Bireysel","Individual",IF(logistics_classification_dataset__1[[#This Row],[Customer_Segment]]="Kurumsal","Corporate"))</f>
        <v>Corporate</v>
      </c>
      <c r="L128">
        <v>1</v>
      </c>
    </row>
    <row r="129" spans="1:12" x14ac:dyDescent="0.35">
      <c r="A129">
        <v>128</v>
      </c>
      <c r="B129" t="s">
        <v>16</v>
      </c>
      <c r="C129" t="s">
        <v>18</v>
      </c>
      <c r="D129" t="s">
        <v>10</v>
      </c>
      <c r="E129" t="str">
        <f>IF(logistics_classification_dataset__1[[#This Row],[Shipment_Type]]="Kara","Road",IF(logistics_classification_dataset__1[[#This Row],[Shipment_Type]]="Hava","Air",IF(logistics_classification_dataset__1[[#This Row],[Shipment_Type]]="Deniz","Sea")))</f>
        <v>Road</v>
      </c>
      <c r="F129">
        <v>1138.3399999999999</v>
      </c>
      <c r="G129" t="str">
        <f t="shared" si="2"/>
        <v>1001–1500</v>
      </c>
      <c r="H129" s="1">
        <v>1599.2</v>
      </c>
      <c r="I129" t="str">
        <f t="shared" si="3"/>
        <v>1501–2000</v>
      </c>
      <c r="J129" t="s">
        <v>11</v>
      </c>
      <c r="K129" t="str">
        <f>IF(logistics_classification_dataset__1[[#This Row],[Customer_Segment]]="Bireysel","Individual",IF(logistics_classification_dataset__1[[#This Row],[Customer_Segment]]="Kurumsal","Corporate"))</f>
        <v>Individual</v>
      </c>
      <c r="L129">
        <v>1</v>
      </c>
    </row>
    <row r="130" spans="1:12" x14ac:dyDescent="0.35">
      <c r="A130">
        <v>129</v>
      </c>
      <c r="B130" t="s">
        <v>8</v>
      </c>
      <c r="C130" t="s">
        <v>13</v>
      </c>
      <c r="D130" t="s">
        <v>15</v>
      </c>
      <c r="E130" t="str">
        <f>IF(logistics_classification_dataset__1[[#This Row],[Shipment_Type]]="Kara","Road",IF(logistics_classification_dataset__1[[#This Row],[Shipment_Type]]="Hava","Air",IF(logistics_classification_dataset__1[[#This Row],[Shipment_Type]]="Deniz","Sea")))</f>
        <v>Air</v>
      </c>
      <c r="F130">
        <v>132.77000000000001</v>
      </c>
      <c r="G130" t="str">
        <f t="shared" ref="G130:G193" si="4">IF(F130&lt;=500,"0–500",IF(F130&lt;=1000,"501–1000",IF(F130&lt;=1500,"1001–1500","1501–2000")))</f>
        <v>0–500</v>
      </c>
      <c r="H130" s="1">
        <v>592.4</v>
      </c>
      <c r="I130" t="str">
        <f t="shared" ref="I130:I193" si="5">IF(H130&lt;=500,"0–500",IF(H130&lt;=1000,"501–1000",IF(H130&lt;=1500,"1001–1500",IF(H130&lt;=2000,"1501–2000","&gt;2000"))))</f>
        <v>501–1000</v>
      </c>
      <c r="J130" t="s">
        <v>14</v>
      </c>
      <c r="K130" t="str">
        <f>IF(logistics_classification_dataset__1[[#This Row],[Customer_Segment]]="Bireysel","Individual",IF(logistics_classification_dataset__1[[#This Row],[Customer_Segment]]="Kurumsal","Corporate"))</f>
        <v>Corporate</v>
      </c>
      <c r="L130">
        <v>1</v>
      </c>
    </row>
    <row r="131" spans="1:12" x14ac:dyDescent="0.35">
      <c r="A131">
        <v>130</v>
      </c>
      <c r="B131" t="s">
        <v>8</v>
      </c>
      <c r="C131" t="s">
        <v>13</v>
      </c>
      <c r="D131" t="s">
        <v>15</v>
      </c>
      <c r="E131" t="str">
        <f>IF(logistics_classification_dataset__1[[#This Row],[Shipment_Type]]="Kara","Road",IF(logistics_classification_dataset__1[[#This Row],[Shipment_Type]]="Hava","Air",IF(logistics_classification_dataset__1[[#This Row],[Shipment_Type]]="Deniz","Sea")))</f>
        <v>Air</v>
      </c>
      <c r="F131">
        <v>1099.02</v>
      </c>
      <c r="G131" t="str">
        <f t="shared" si="4"/>
        <v>1001–1500</v>
      </c>
      <c r="H131" s="1">
        <v>327.39999999999998</v>
      </c>
      <c r="I131" t="str">
        <f t="shared" si="5"/>
        <v>0–500</v>
      </c>
      <c r="J131" t="s">
        <v>11</v>
      </c>
      <c r="K131" t="str">
        <f>IF(logistics_classification_dataset__1[[#This Row],[Customer_Segment]]="Bireysel","Individual",IF(logistics_classification_dataset__1[[#This Row],[Customer_Segment]]="Kurumsal","Corporate"))</f>
        <v>Individual</v>
      </c>
      <c r="L131">
        <v>1</v>
      </c>
    </row>
    <row r="132" spans="1:12" x14ac:dyDescent="0.35">
      <c r="A132">
        <v>131</v>
      </c>
      <c r="B132" t="s">
        <v>12</v>
      </c>
      <c r="C132" t="s">
        <v>17</v>
      </c>
      <c r="D132" t="s">
        <v>10</v>
      </c>
      <c r="E132" t="str">
        <f>IF(logistics_classification_dataset__1[[#This Row],[Shipment_Type]]="Kara","Road",IF(logistics_classification_dataset__1[[#This Row],[Shipment_Type]]="Hava","Air",IF(logistics_classification_dataset__1[[#This Row],[Shipment_Type]]="Deniz","Sea")))</f>
        <v>Road</v>
      </c>
      <c r="F132">
        <v>1759.11</v>
      </c>
      <c r="G132" t="str">
        <f t="shared" si="4"/>
        <v>1501–2000</v>
      </c>
      <c r="H132" s="1">
        <v>660.7</v>
      </c>
      <c r="I132" t="str">
        <f t="shared" si="5"/>
        <v>501–1000</v>
      </c>
      <c r="J132" t="s">
        <v>14</v>
      </c>
      <c r="K132" t="str">
        <f>IF(logistics_classification_dataset__1[[#This Row],[Customer_Segment]]="Bireysel","Individual",IF(logistics_classification_dataset__1[[#This Row],[Customer_Segment]]="Kurumsal","Corporate"))</f>
        <v>Corporate</v>
      </c>
      <c r="L132">
        <v>1</v>
      </c>
    </row>
    <row r="133" spans="1:12" x14ac:dyDescent="0.35">
      <c r="A133">
        <v>132</v>
      </c>
      <c r="B133" t="s">
        <v>8</v>
      </c>
      <c r="C133" t="s">
        <v>12</v>
      </c>
      <c r="D133" t="s">
        <v>10</v>
      </c>
      <c r="E133" t="str">
        <f>IF(logistics_classification_dataset__1[[#This Row],[Shipment_Type]]="Kara","Road",IF(logistics_classification_dataset__1[[#This Row],[Shipment_Type]]="Hava","Air",IF(logistics_classification_dataset__1[[#This Row],[Shipment_Type]]="Deniz","Sea")))</f>
        <v>Road</v>
      </c>
      <c r="F133">
        <v>1352.78</v>
      </c>
      <c r="G133" t="str">
        <f t="shared" si="4"/>
        <v>1001–1500</v>
      </c>
      <c r="H133" s="1">
        <v>1706.6</v>
      </c>
      <c r="I133" t="str">
        <f t="shared" si="5"/>
        <v>1501–2000</v>
      </c>
      <c r="J133" t="s">
        <v>11</v>
      </c>
      <c r="K133" t="str">
        <f>IF(logistics_classification_dataset__1[[#This Row],[Customer_Segment]]="Bireysel","Individual",IF(logistics_classification_dataset__1[[#This Row],[Customer_Segment]]="Kurumsal","Corporate"))</f>
        <v>Individual</v>
      </c>
      <c r="L133">
        <v>1</v>
      </c>
    </row>
    <row r="134" spans="1:12" x14ac:dyDescent="0.35">
      <c r="A134">
        <v>133</v>
      </c>
      <c r="B134" t="s">
        <v>18</v>
      </c>
      <c r="C134" t="s">
        <v>16</v>
      </c>
      <c r="D134" t="s">
        <v>10</v>
      </c>
      <c r="E134" t="str">
        <f>IF(logistics_classification_dataset__1[[#This Row],[Shipment_Type]]="Kara","Road",IF(logistics_classification_dataset__1[[#This Row],[Shipment_Type]]="Hava","Air",IF(logistics_classification_dataset__1[[#This Row],[Shipment_Type]]="Deniz","Sea")))</f>
        <v>Road</v>
      </c>
      <c r="F134">
        <v>1096.19</v>
      </c>
      <c r="G134" t="str">
        <f t="shared" si="4"/>
        <v>1001–1500</v>
      </c>
      <c r="H134" s="1">
        <v>223.5</v>
      </c>
      <c r="I134" t="str">
        <f t="shared" si="5"/>
        <v>0–500</v>
      </c>
      <c r="J134" t="s">
        <v>11</v>
      </c>
      <c r="K134" t="str">
        <f>IF(logistics_classification_dataset__1[[#This Row],[Customer_Segment]]="Bireysel","Individual",IF(logistics_classification_dataset__1[[#This Row],[Customer_Segment]]="Kurumsal","Corporate"))</f>
        <v>Individual</v>
      </c>
      <c r="L134">
        <v>1</v>
      </c>
    </row>
    <row r="135" spans="1:12" x14ac:dyDescent="0.35">
      <c r="A135">
        <v>134</v>
      </c>
      <c r="B135" t="s">
        <v>21</v>
      </c>
      <c r="C135" t="s">
        <v>17</v>
      </c>
      <c r="D135" t="s">
        <v>10</v>
      </c>
      <c r="E135" t="str">
        <f>IF(logistics_classification_dataset__1[[#This Row],[Shipment_Type]]="Kara","Road",IF(logistics_classification_dataset__1[[#This Row],[Shipment_Type]]="Hava","Air",IF(logistics_classification_dataset__1[[#This Row],[Shipment_Type]]="Deniz","Sea")))</f>
        <v>Road</v>
      </c>
      <c r="F135">
        <v>1660.38</v>
      </c>
      <c r="G135" t="str">
        <f t="shared" si="4"/>
        <v>1501–2000</v>
      </c>
      <c r="H135" s="1">
        <v>1983.8</v>
      </c>
      <c r="I135" t="str">
        <f t="shared" si="5"/>
        <v>1501–2000</v>
      </c>
      <c r="J135" t="s">
        <v>11</v>
      </c>
      <c r="K135" t="str">
        <f>IF(logistics_classification_dataset__1[[#This Row],[Customer_Segment]]="Bireysel","Individual",IF(logistics_classification_dataset__1[[#This Row],[Customer_Segment]]="Kurumsal","Corporate"))</f>
        <v>Individual</v>
      </c>
      <c r="L135">
        <v>1</v>
      </c>
    </row>
    <row r="136" spans="1:12" x14ac:dyDescent="0.35">
      <c r="A136">
        <v>135</v>
      </c>
      <c r="B136" t="s">
        <v>22</v>
      </c>
      <c r="C136" t="s">
        <v>16</v>
      </c>
      <c r="D136" t="s">
        <v>15</v>
      </c>
      <c r="E136" t="str">
        <f>IF(logistics_classification_dataset__1[[#This Row],[Shipment_Type]]="Kara","Road",IF(logistics_classification_dataset__1[[#This Row],[Shipment_Type]]="Hava","Air",IF(logistics_classification_dataset__1[[#This Row],[Shipment_Type]]="Deniz","Sea")))</f>
        <v>Air</v>
      </c>
      <c r="F136">
        <v>1214.26</v>
      </c>
      <c r="G136" t="str">
        <f t="shared" si="4"/>
        <v>1001–1500</v>
      </c>
      <c r="H136" s="1">
        <v>1105</v>
      </c>
      <c r="I136" t="str">
        <f t="shared" si="5"/>
        <v>1001–1500</v>
      </c>
      <c r="J136" t="s">
        <v>11</v>
      </c>
      <c r="K136" t="str">
        <f>IF(logistics_classification_dataset__1[[#This Row],[Customer_Segment]]="Bireysel","Individual",IF(logistics_classification_dataset__1[[#This Row],[Customer_Segment]]="Kurumsal","Corporate"))</f>
        <v>Individual</v>
      </c>
      <c r="L136">
        <v>1</v>
      </c>
    </row>
    <row r="137" spans="1:12" x14ac:dyDescent="0.35">
      <c r="A137">
        <v>136</v>
      </c>
      <c r="B137" t="s">
        <v>17</v>
      </c>
      <c r="C137" t="s">
        <v>8</v>
      </c>
      <c r="D137" t="s">
        <v>10</v>
      </c>
      <c r="E137" t="str">
        <f>IF(logistics_classification_dataset__1[[#This Row],[Shipment_Type]]="Kara","Road",IF(logistics_classification_dataset__1[[#This Row],[Shipment_Type]]="Hava","Air",IF(logistics_classification_dataset__1[[#This Row],[Shipment_Type]]="Deniz","Sea")))</f>
        <v>Road</v>
      </c>
      <c r="F137">
        <v>585.83000000000004</v>
      </c>
      <c r="G137" t="str">
        <f t="shared" si="4"/>
        <v>501–1000</v>
      </c>
      <c r="H137" s="1">
        <v>1970.4</v>
      </c>
      <c r="I137" t="str">
        <f t="shared" si="5"/>
        <v>1501–2000</v>
      </c>
      <c r="J137" t="s">
        <v>11</v>
      </c>
      <c r="K137" t="str">
        <f>IF(logistics_classification_dataset__1[[#This Row],[Customer_Segment]]="Bireysel","Individual",IF(logistics_classification_dataset__1[[#This Row],[Customer_Segment]]="Kurumsal","Corporate"))</f>
        <v>Individual</v>
      </c>
      <c r="L137">
        <v>1</v>
      </c>
    </row>
    <row r="138" spans="1:12" x14ac:dyDescent="0.35">
      <c r="A138">
        <v>137</v>
      </c>
      <c r="B138" t="s">
        <v>20</v>
      </c>
      <c r="C138" t="s">
        <v>22</v>
      </c>
      <c r="D138" t="s">
        <v>10</v>
      </c>
      <c r="E138" t="str">
        <f>IF(logistics_classification_dataset__1[[#This Row],[Shipment_Type]]="Kara","Road",IF(logistics_classification_dataset__1[[#This Row],[Shipment_Type]]="Hava","Air",IF(logistics_classification_dataset__1[[#This Row],[Shipment_Type]]="Deniz","Sea")))</f>
        <v>Road</v>
      </c>
      <c r="F138">
        <v>418.15</v>
      </c>
      <c r="G138" t="str">
        <f t="shared" si="4"/>
        <v>0–500</v>
      </c>
      <c r="H138" s="1">
        <v>1881</v>
      </c>
      <c r="I138" t="str">
        <f t="shared" si="5"/>
        <v>1501–2000</v>
      </c>
      <c r="J138" t="s">
        <v>14</v>
      </c>
      <c r="K138" t="str">
        <f>IF(logistics_classification_dataset__1[[#This Row],[Customer_Segment]]="Bireysel","Individual",IF(logistics_classification_dataset__1[[#This Row],[Customer_Segment]]="Kurumsal","Corporate"))</f>
        <v>Corporate</v>
      </c>
      <c r="L138">
        <v>1</v>
      </c>
    </row>
    <row r="139" spans="1:12" x14ac:dyDescent="0.35">
      <c r="A139">
        <v>138</v>
      </c>
      <c r="B139" t="s">
        <v>16</v>
      </c>
      <c r="C139" t="s">
        <v>8</v>
      </c>
      <c r="D139" t="s">
        <v>15</v>
      </c>
      <c r="E139" t="str">
        <f>IF(logistics_classification_dataset__1[[#This Row],[Shipment_Type]]="Kara","Road",IF(logistics_classification_dataset__1[[#This Row],[Shipment_Type]]="Hava","Air",IF(logistics_classification_dataset__1[[#This Row],[Shipment_Type]]="Deniz","Sea")))</f>
        <v>Air</v>
      </c>
      <c r="F139">
        <v>308.89</v>
      </c>
      <c r="G139" t="str">
        <f t="shared" si="4"/>
        <v>0–500</v>
      </c>
      <c r="H139" s="1">
        <v>933</v>
      </c>
      <c r="I139" t="str">
        <f t="shared" si="5"/>
        <v>501–1000</v>
      </c>
      <c r="J139" t="s">
        <v>11</v>
      </c>
      <c r="K139" t="str">
        <f>IF(logistics_classification_dataset__1[[#This Row],[Customer_Segment]]="Bireysel","Individual",IF(logistics_classification_dataset__1[[#This Row],[Customer_Segment]]="Kurumsal","Corporate"))</f>
        <v>Individual</v>
      </c>
      <c r="L139">
        <v>1</v>
      </c>
    </row>
    <row r="140" spans="1:12" x14ac:dyDescent="0.35">
      <c r="A140">
        <v>139</v>
      </c>
      <c r="B140" t="s">
        <v>21</v>
      </c>
      <c r="C140" t="s">
        <v>17</v>
      </c>
      <c r="D140" t="s">
        <v>15</v>
      </c>
      <c r="E140" t="str">
        <f>IF(logistics_classification_dataset__1[[#This Row],[Shipment_Type]]="Kara","Road",IF(logistics_classification_dataset__1[[#This Row],[Shipment_Type]]="Hava","Air",IF(logistics_classification_dataset__1[[#This Row],[Shipment_Type]]="Deniz","Sea")))</f>
        <v>Air</v>
      </c>
      <c r="F140">
        <v>1799.41</v>
      </c>
      <c r="G140" t="str">
        <f t="shared" si="4"/>
        <v>1501–2000</v>
      </c>
      <c r="H140" s="1">
        <v>437.1</v>
      </c>
      <c r="I140" t="str">
        <f t="shared" si="5"/>
        <v>0–500</v>
      </c>
      <c r="J140" t="s">
        <v>11</v>
      </c>
      <c r="K140" t="str">
        <f>IF(logistics_classification_dataset__1[[#This Row],[Customer_Segment]]="Bireysel","Individual",IF(logistics_classification_dataset__1[[#This Row],[Customer_Segment]]="Kurumsal","Corporate"))</f>
        <v>Individual</v>
      </c>
      <c r="L140">
        <v>1</v>
      </c>
    </row>
    <row r="141" spans="1:12" x14ac:dyDescent="0.35">
      <c r="A141">
        <v>140</v>
      </c>
      <c r="B141" t="s">
        <v>12</v>
      </c>
      <c r="C141" t="s">
        <v>8</v>
      </c>
      <c r="D141" t="s">
        <v>15</v>
      </c>
      <c r="E141" t="str">
        <f>IF(logistics_classification_dataset__1[[#This Row],[Shipment_Type]]="Kara","Road",IF(logistics_classification_dataset__1[[#This Row],[Shipment_Type]]="Hava","Air",IF(logistics_classification_dataset__1[[#This Row],[Shipment_Type]]="Deniz","Sea")))</f>
        <v>Air</v>
      </c>
      <c r="F141">
        <v>1421.72</v>
      </c>
      <c r="G141" t="str">
        <f t="shared" si="4"/>
        <v>1001–1500</v>
      </c>
      <c r="H141" s="1">
        <v>371.5</v>
      </c>
      <c r="I141" t="str">
        <f t="shared" si="5"/>
        <v>0–500</v>
      </c>
      <c r="J141" t="s">
        <v>11</v>
      </c>
      <c r="K141" t="str">
        <f>IF(logistics_classification_dataset__1[[#This Row],[Customer_Segment]]="Bireysel","Individual",IF(logistics_classification_dataset__1[[#This Row],[Customer_Segment]]="Kurumsal","Corporate"))</f>
        <v>Individual</v>
      </c>
      <c r="L141">
        <v>1</v>
      </c>
    </row>
    <row r="142" spans="1:12" x14ac:dyDescent="0.35">
      <c r="A142">
        <v>141</v>
      </c>
      <c r="B142" t="s">
        <v>17</v>
      </c>
      <c r="C142" t="s">
        <v>9</v>
      </c>
      <c r="D142" t="s">
        <v>10</v>
      </c>
      <c r="E142" t="str">
        <f>IF(logistics_classification_dataset__1[[#This Row],[Shipment_Type]]="Kara","Road",IF(logistics_classification_dataset__1[[#This Row],[Shipment_Type]]="Hava","Air",IF(logistics_classification_dataset__1[[#This Row],[Shipment_Type]]="Deniz","Sea")))</f>
        <v>Road</v>
      </c>
      <c r="F142">
        <v>1875.07</v>
      </c>
      <c r="G142" t="str">
        <f t="shared" si="4"/>
        <v>1501–2000</v>
      </c>
      <c r="H142" s="1">
        <v>518</v>
      </c>
      <c r="I142" t="str">
        <f t="shared" si="5"/>
        <v>501–1000</v>
      </c>
      <c r="J142" t="s">
        <v>11</v>
      </c>
      <c r="K142" t="str">
        <f>IF(logistics_classification_dataset__1[[#This Row],[Customer_Segment]]="Bireysel","Individual",IF(logistics_classification_dataset__1[[#This Row],[Customer_Segment]]="Kurumsal","Corporate"))</f>
        <v>Individual</v>
      </c>
      <c r="L142">
        <v>1</v>
      </c>
    </row>
    <row r="143" spans="1:12" x14ac:dyDescent="0.35">
      <c r="A143">
        <v>142</v>
      </c>
      <c r="B143" t="s">
        <v>8</v>
      </c>
      <c r="C143" t="s">
        <v>21</v>
      </c>
      <c r="D143" t="s">
        <v>10</v>
      </c>
      <c r="E143" t="str">
        <f>IF(logistics_classification_dataset__1[[#This Row],[Shipment_Type]]="Kara","Road",IF(logistics_classification_dataset__1[[#This Row],[Shipment_Type]]="Hava","Air",IF(logistics_classification_dataset__1[[#This Row],[Shipment_Type]]="Deniz","Sea")))</f>
        <v>Road</v>
      </c>
      <c r="F143">
        <v>1208.57</v>
      </c>
      <c r="G143" t="str">
        <f t="shared" si="4"/>
        <v>1001–1500</v>
      </c>
      <c r="H143" s="1">
        <v>1434.8</v>
      </c>
      <c r="I143" t="str">
        <f t="shared" si="5"/>
        <v>1001–1500</v>
      </c>
      <c r="J143" t="s">
        <v>14</v>
      </c>
      <c r="K143" t="str">
        <f>IF(logistics_classification_dataset__1[[#This Row],[Customer_Segment]]="Bireysel","Individual",IF(logistics_classification_dataset__1[[#This Row],[Customer_Segment]]="Kurumsal","Corporate"))</f>
        <v>Corporate</v>
      </c>
      <c r="L143">
        <v>1</v>
      </c>
    </row>
    <row r="144" spans="1:12" x14ac:dyDescent="0.35">
      <c r="A144">
        <v>143</v>
      </c>
      <c r="B144" t="s">
        <v>20</v>
      </c>
      <c r="C144" t="s">
        <v>16</v>
      </c>
      <c r="D144" t="s">
        <v>10</v>
      </c>
      <c r="E144" t="str">
        <f>IF(logistics_classification_dataset__1[[#This Row],[Shipment_Type]]="Kara","Road",IF(logistics_classification_dataset__1[[#This Row],[Shipment_Type]]="Hava","Air",IF(logistics_classification_dataset__1[[#This Row],[Shipment_Type]]="Deniz","Sea")))</f>
        <v>Road</v>
      </c>
      <c r="F144">
        <v>949.43</v>
      </c>
      <c r="G144" t="str">
        <f t="shared" si="4"/>
        <v>501–1000</v>
      </c>
      <c r="H144" s="1">
        <v>582.29999999999995</v>
      </c>
      <c r="I144" t="str">
        <f t="shared" si="5"/>
        <v>501–1000</v>
      </c>
      <c r="J144" t="s">
        <v>14</v>
      </c>
      <c r="K144" t="str">
        <f>IF(logistics_classification_dataset__1[[#This Row],[Customer_Segment]]="Bireysel","Individual",IF(logistics_classification_dataset__1[[#This Row],[Customer_Segment]]="Kurumsal","Corporate"))</f>
        <v>Corporate</v>
      </c>
      <c r="L144">
        <v>1</v>
      </c>
    </row>
    <row r="145" spans="1:12" x14ac:dyDescent="0.35">
      <c r="A145">
        <v>144</v>
      </c>
      <c r="B145" t="s">
        <v>8</v>
      </c>
      <c r="C145" t="s">
        <v>18</v>
      </c>
      <c r="D145" t="s">
        <v>10</v>
      </c>
      <c r="E145" t="str">
        <f>IF(logistics_classification_dataset__1[[#This Row],[Shipment_Type]]="Kara","Road",IF(logistics_classification_dataset__1[[#This Row],[Shipment_Type]]="Hava","Air",IF(logistics_classification_dataset__1[[#This Row],[Shipment_Type]]="Deniz","Sea")))</f>
        <v>Road</v>
      </c>
      <c r="F145">
        <v>124.13</v>
      </c>
      <c r="G145" t="str">
        <f t="shared" si="4"/>
        <v>0–500</v>
      </c>
      <c r="H145" s="1">
        <v>715.8</v>
      </c>
      <c r="I145" t="str">
        <f t="shared" si="5"/>
        <v>501–1000</v>
      </c>
      <c r="J145" t="s">
        <v>14</v>
      </c>
      <c r="K145" t="str">
        <f>IF(logistics_classification_dataset__1[[#This Row],[Customer_Segment]]="Bireysel","Individual",IF(logistics_classification_dataset__1[[#This Row],[Customer_Segment]]="Kurumsal","Corporate"))</f>
        <v>Corporate</v>
      </c>
      <c r="L145">
        <v>1</v>
      </c>
    </row>
    <row r="146" spans="1:12" x14ac:dyDescent="0.35">
      <c r="A146">
        <v>145</v>
      </c>
      <c r="B146" t="s">
        <v>9</v>
      </c>
      <c r="C146" t="s">
        <v>18</v>
      </c>
      <c r="D146" t="s">
        <v>15</v>
      </c>
      <c r="E146" t="str">
        <f>IF(logistics_classification_dataset__1[[#This Row],[Shipment_Type]]="Kara","Road",IF(logistics_classification_dataset__1[[#This Row],[Shipment_Type]]="Hava","Air",IF(logistics_classification_dataset__1[[#This Row],[Shipment_Type]]="Deniz","Sea")))</f>
        <v>Air</v>
      </c>
      <c r="F146">
        <v>1344.93</v>
      </c>
      <c r="G146" t="str">
        <f t="shared" si="4"/>
        <v>1001–1500</v>
      </c>
      <c r="H146" s="1">
        <v>925.1</v>
      </c>
      <c r="I146" t="str">
        <f t="shared" si="5"/>
        <v>501–1000</v>
      </c>
      <c r="J146" t="s">
        <v>14</v>
      </c>
      <c r="K146" t="str">
        <f>IF(logistics_classification_dataset__1[[#This Row],[Customer_Segment]]="Bireysel","Individual",IF(logistics_classification_dataset__1[[#This Row],[Customer_Segment]]="Kurumsal","Corporate"))</f>
        <v>Corporate</v>
      </c>
      <c r="L146">
        <v>1</v>
      </c>
    </row>
    <row r="147" spans="1:12" x14ac:dyDescent="0.35">
      <c r="A147">
        <v>146</v>
      </c>
      <c r="B147" t="s">
        <v>9</v>
      </c>
      <c r="C147" t="s">
        <v>12</v>
      </c>
      <c r="D147" t="s">
        <v>15</v>
      </c>
      <c r="E147" t="str">
        <f>IF(logistics_classification_dataset__1[[#This Row],[Shipment_Type]]="Kara","Road",IF(logistics_classification_dataset__1[[#This Row],[Shipment_Type]]="Hava","Air",IF(logistics_classification_dataset__1[[#This Row],[Shipment_Type]]="Deniz","Sea")))</f>
        <v>Air</v>
      </c>
      <c r="F147">
        <v>1166.51</v>
      </c>
      <c r="G147" t="str">
        <f t="shared" si="4"/>
        <v>1001–1500</v>
      </c>
      <c r="H147" s="1">
        <v>1830.8</v>
      </c>
      <c r="I147" t="str">
        <f t="shared" si="5"/>
        <v>1501–2000</v>
      </c>
      <c r="J147" t="s">
        <v>14</v>
      </c>
      <c r="K147" t="str">
        <f>IF(logistics_classification_dataset__1[[#This Row],[Customer_Segment]]="Bireysel","Individual",IF(logistics_classification_dataset__1[[#This Row],[Customer_Segment]]="Kurumsal","Corporate"))</f>
        <v>Corporate</v>
      </c>
      <c r="L147">
        <v>1</v>
      </c>
    </row>
    <row r="148" spans="1:12" x14ac:dyDescent="0.35">
      <c r="A148">
        <v>147</v>
      </c>
      <c r="B148" t="s">
        <v>20</v>
      </c>
      <c r="C148" t="s">
        <v>22</v>
      </c>
      <c r="D148" t="s">
        <v>15</v>
      </c>
      <c r="E148" t="str">
        <f>IF(logistics_classification_dataset__1[[#This Row],[Shipment_Type]]="Kara","Road",IF(logistics_classification_dataset__1[[#This Row],[Shipment_Type]]="Hava","Air",IF(logistics_classification_dataset__1[[#This Row],[Shipment_Type]]="Deniz","Sea")))</f>
        <v>Air</v>
      </c>
      <c r="F148">
        <v>1980.47</v>
      </c>
      <c r="G148" t="str">
        <f t="shared" si="4"/>
        <v>1501–2000</v>
      </c>
      <c r="H148" s="1">
        <v>419.3</v>
      </c>
      <c r="I148" t="str">
        <f t="shared" si="5"/>
        <v>0–500</v>
      </c>
      <c r="J148" t="s">
        <v>11</v>
      </c>
      <c r="K148" t="str">
        <f>IF(logistics_classification_dataset__1[[#This Row],[Customer_Segment]]="Bireysel","Individual",IF(logistics_classification_dataset__1[[#This Row],[Customer_Segment]]="Kurumsal","Corporate"))</f>
        <v>Individual</v>
      </c>
      <c r="L148">
        <v>1</v>
      </c>
    </row>
    <row r="149" spans="1:12" x14ac:dyDescent="0.35">
      <c r="A149">
        <v>148</v>
      </c>
      <c r="B149" t="s">
        <v>20</v>
      </c>
      <c r="C149" t="s">
        <v>22</v>
      </c>
      <c r="D149" t="s">
        <v>15</v>
      </c>
      <c r="E149" t="str">
        <f>IF(logistics_classification_dataset__1[[#This Row],[Shipment_Type]]="Kara","Road",IF(logistics_classification_dataset__1[[#This Row],[Shipment_Type]]="Hava","Air",IF(logistics_classification_dataset__1[[#This Row],[Shipment_Type]]="Deniz","Sea")))</f>
        <v>Air</v>
      </c>
      <c r="F149">
        <v>482.12</v>
      </c>
      <c r="G149" t="str">
        <f t="shared" si="4"/>
        <v>0–500</v>
      </c>
      <c r="H149" s="1">
        <v>59.8</v>
      </c>
      <c r="I149" t="str">
        <f t="shared" si="5"/>
        <v>0–500</v>
      </c>
      <c r="J149" t="s">
        <v>14</v>
      </c>
      <c r="K149" t="str">
        <f>IF(logistics_classification_dataset__1[[#This Row],[Customer_Segment]]="Bireysel","Individual",IF(logistics_classification_dataset__1[[#This Row],[Customer_Segment]]="Kurumsal","Corporate"))</f>
        <v>Corporate</v>
      </c>
      <c r="L149">
        <v>1</v>
      </c>
    </row>
    <row r="150" spans="1:12" x14ac:dyDescent="0.35">
      <c r="A150">
        <v>149</v>
      </c>
      <c r="B150" t="s">
        <v>12</v>
      </c>
      <c r="C150" t="s">
        <v>9</v>
      </c>
      <c r="D150" t="s">
        <v>10</v>
      </c>
      <c r="E150" t="str">
        <f>IF(logistics_classification_dataset__1[[#This Row],[Shipment_Type]]="Kara","Road",IF(logistics_classification_dataset__1[[#This Row],[Shipment_Type]]="Hava","Air",IF(logistics_classification_dataset__1[[#This Row],[Shipment_Type]]="Deniz","Sea")))</f>
        <v>Road</v>
      </c>
      <c r="F150">
        <v>1063.82</v>
      </c>
      <c r="G150" t="str">
        <f t="shared" si="4"/>
        <v>1001–1500</v>
      </c>
      <c r="H150" s="1">
        <v>167.2</v>
      </c>
      <c r="I150" t="str">
        <f t="shared" si="5"/>
        <v>0–500</v>
      </c>
      <c r="J150" t="s">
        <v>11</v>
      </c>
      <c r="K150" t="str">
        <f>IF(logistics_classification_dataset__1[[#This Row],[Customer_Segment]]="Bireysel","Individual",IF(logistics_classification_dataset__1[[#This Row],[Customer_Segment]]="Kurumsal","Corporate"))</f>
        <v>Individual</v>
      </c>
      <c r="L150">
        <v>1</v>
      </c>
    </row>
    <row r="151" spans="1:12" x14ac:dyDescent="0.35">
      <c r="A151">
        <v>150</v>
      </c>
      <c r="B151" t="s">
        <v>20</v>
      </c>
      <c r="C151" t="s">
        <v>16</v>
      </c>
      <c r="D151" t="s">
        <v>15</v>
      </c>
      <c r="E151" t="str">
        <f>IF(logistics_classification_dataset__1[[#This Row],[Shipment_Type]]="Kara","Road",IF(logistics_classification_dataset__1[[#This Row],[Shipment_Type]]="Hava","Air",IF(logistics_classification_dataset__1[[#This Row],[Shipment_Type]]="Deniz","Sea")))</f>
        <v>Air</v>
      </c>
      <c r="F151">
        <v>1303.6600000000001</v>
      </c>
      <c r="G151" t="str">
        <f t="shared" si="4"/>
        <v>1001–1500</v>
      </c>
      <c r="H151" s="1">
        <v>1814.3</v>
      </c>
      <c r="I151" t="str">
        <f t="shared" si="5"/>
        <v>1501–2000</v>
      </c>
      <c r="J151" t="s">
        <v>11</v>
      </c>
      <c r="K151" t="str">
        <f>IF(logistics_classification_dataset__1[[#This Row],[Customer_Segment]]="Bireysel","Individual",IF(logistics_classification_dataset__1[[#This Row],[Customer_Segment]]="Kurumsal","Corporate"))</f>
        <v>Individual</v>
      </c>
      <c r="L151">
        <v>1</v>
      </c>
    </row>
    <row r="152" spans="1:12" x14ac:dyDescent="0.35">
      <c r="A152">
        <v>151</v>
      </c>
      <c r="B152" t="s">
        <v>18</v>
      </c>
      <c r="C152" t="s">
        <v>12</v>
      </c>
      <c r="D152" t="s">
        <v>10</v>
      </c>
      <c r="E152" t="str">
        <f>IF(logistics_classification_dataset__1[[#This Row],[Shipment_Type]]="Kara","Road",IF(logistics_classification_dataset__1[[#This Row],[Shipment_Type]]="Hava","Air",IF(logistics_classification_dataset__1[[#This Row],[Shipment_Type]]="Deniz","Sea")))</f>
        <v>Road</v>
      </c>
      <c r="F152">
        <v>1290.96</v>
      </c>
      <c r="G152" t="str">
        <f t="shared" si="4"/>
        <v>1001–1500</v>
      </c>
      <c r="H152" s="1">
        <v>1312.7</v>
      </c>
      <c r="I152" t="str">
        <f t="shared" si="5"/>
        <v>1001–1500</v>
      </c>
      <c r="J152" t="s">
        <v>11</v>
      </c>
      <c r="K152" t="str">
        <f>IF(logistics_classification_dataset__1[[#This Row],[Customer_Segment]]="Bireysel","Individual",IF(logistics_classification_dataset__1[[#This Row],[Customer_Segment]]="Kurumsal","Corporate"))</f>
        <v>Individual</v>
      </c>
      <c r="L152">
        <v>1</v>
      </c>
    </row>
    <row r="153" spans="1:12" x14ac:dyDescent="0.35">
      <c r="A153">
        <v>152</v>
      </c>
      <c r="B153" t="s">
        <v>8</v>
      </c>
      <c r="C153" t="s">
        <v>17</v>
      </c>
      <c r="D153" t="s">
        <v>10</v>
      </c>
      <c r="E153" t="str">
        <f>IF(logistics_classification_dataset__1[[#This Row],[Shipment_Type]]="Kara","Road",IF(logistics_classification_dataset__1[[#This Row],[Shipment_Type]]="Hava","Air",IF(logistics_classification_dataset__1[[#This Row],[Shipment_Type]]="Deniz","Sea")))</f>
        <v>Road</v>
      </c>
      <c r="F153">
        <v>1124.78</v>
      </c>
      <c r="G153" t="str">
        <f t="shared" si="4"/>
        <v>1001–1500</v>
      </c>
      <c r="H153" s="1">
        <v>582.4</v>
      </c>
      <c r="I153" t="str">
        <f t="shared" si="5"/>
        <v>501–1000</v>
      </c>
      <c r="J153" t="s">
        <v>14</v>
      </c>
      <c r="K153" t="str">
        <f>IF(logistics_classification_dataset__1[[#This Row],[Customer_Segment]]="Bireysel","Individual",IF(logistics_classification_dataset__1[[#This Row],[Customer_Segment]]="Kurumsal","Corporate"))</f>
        <v>Corporate</v>
      </c>
      <c r="L153">
        <v>1</v>
      </c>
    </row>
    <row r="154" spans="1:12" x14ac:dyDescent="0.35">
      <c r="A154">
        <v>153</v>
      </c>
      <c r="B154" t="s">
        <v>21</v>
      </c>
      <c r="C154" t="s">
        <v>22</v>
      </c>
      <c r="D154" t="s">
        <v>10</v>
      </c>
      <c r="E154" t="str">
        <f>IF(logistics_classification_dataset__1[[#This Row],[Shipment_Type]]="Kara","Road",IF(logistics_classification_dataset__1[[#This Row],[Shipment_Type]]="Hava","Air",IF(logistics_classification_dataset__1[[#This Row],[Shipment_Type]]="Deniz","Sea")))</f>
        <v>Road</v>
      </c>
      <c r="F154">
        <v>1554.97</v>
      </c>
      <c r="G154" t="str">
        <f t="shared" si="4"/>
        <v>1501–2000</v>
      </c>
      <c r="H154" s="1">
        <v>395.5</v>
      </c>
      <c r="I154" t="str">
        <f t="shared" si="5"/>
        <v>0–500</v>
      </c>
      <c r="J154" t="s">
        <v>14</v>
      </c>
      <c r="K154" t="str">
        <f>IF(logistics_classification_dataset__1[[#This Row],[Customer_Segment]]="Bireysel","Individual",IF(logistics_classification_dataset__1[[#This Row],[Customer_Segment]]="Kurumsal","Corporate"))</f>
        <v>Corporate</v>
      </c>
      <c r="L154">
        <v>1</v>
      </c>
    </row>
    <row r="155" spans="1:12" x14ac:dyDescent="0.35">
      <c r="A155">
        <v>154</v>
      </c>
      <c r="B155" t="s">
        <v>13</v>
      </c>
      <c r="C155" t="s">
        <v>18</v>
      </c>
      <c r="D155" t="s">
        <v>10</v>
      </c>
      <c r="E155" t="str">
        <f>IF(logistics_classification_dataset__1[[#This Row],[Shipment_Type]]="Kara","Road",IF(logistics_classification_dataset__1[[#This Row],[Shipment_Type]]="Hava","Air",IF(logistics_classification_dataset__1[[#This Row],[Shipment_Type]]="Deniz","Sea")))</f>
        <v>Road</v>
      </c>
      <c r="F155">
        <v>413.94</v>
      </c>
      <c r="G155" t="str">
        <f t="shared" si="4"/>
        <v>0–500</v>
      </c>
      <c r="H155" s="1">
        <v>623.79999999999995</v>
      </c>
      <c r="I155" t="str">
        <f t="shared" si="5"/>
        <v>501–1000</v>
      </c>
      <c r="J155" t="s">
        <v>11</v>
      </c>
      <c r="K155" t="str">
        <f>IF(logistics_classification_dataset__1[[#This Row],[Customer_Segment]]="Bireysel","Individual",IF(logistics_classification_dataset__1[[#This Row],[Customer_Segment]]="Kurumsal","Corporate"))</f>
        <v>Individual</v>
      </c>
      <c r="L155">
        <v>1</v>
      </c>
    </row>
    <row r="156" spans="1:12" x14ac:dyDescent="0.35">
      <c r="A156">
        <v>155</v>
      </c>
      <c r="B156" t="s">
        <v>20</v>
      </c>
      <c r="C156" t="s">
        <v>8</v>
      </c>
      <c r="D156" t="s">
        <v>10</v>
      </c>
      <c r="E156" t="str">
        <f>IF(logistics_classification_dataset__1[[#This Row],[Shipment_Type]]="Kara","Road",IF(logistics_classification_dataset__1[[#This Row],[Shipment_Type]]="Hava","Air",IF(logistics_classification_dataset__1[[#This Row],[Shipment_Type]]="Deniz","Sea")))</f>
        <v>Road</v>
      </c>
      <c r="F156">
        <v>1452.63</v>
      </c>
      <c r="G156" t="str">
        <f t="shared" si="4"/>
        <v>1001–1500</v>
      </c>
      <c r="H156" s="1">
        <v>273.89999999999998</v>
      </c>
      <c r="I156" t="str">
        <f t="shared" si="5"/>
        <v>0–500</v>
      </c>
      <c r="J156" t="s">
        <v>14</v>
      </c>
      <c r="K156" t="str">
        <f>IF(logistics_classification_dataset__1[[#This Row],[Customer_Segment]]="Bireysel","Individual",IF(logistics_classification_dataset__1[[#This Row],[Customer_Segment]]="Kurumsal","Corporate"))</f>
        <v>Corporate</v>
      </c>
      <c r="L156">
        <v>1</v>
      </c>
    </row>
    <row r="157" spans="1:12" x14ac:dyDescent="0.35">
      <c r="A157">
        <v>156</v>
      </c>
      <c r="B157" t="s">
        <v>16</v>
      </c>
      <c r="C157" t="s">
        <v>8</v>
      </c>
      <c r="D157" t="s">
        <v>19</v>
      </c>
      <c r="E157" t="str">
        <f>IF(logistics_classification_dataset__1[[#This Row],[Shipment_Type]]="Kara","Road",IF(logistics_classification_dataset__1[[#This Row],[Shipment_Type]]="Hava","Air",IF(logistics_classification_dataset__1[[#This Row],[Shipment_Type]]="Deniz","Sea")))</f>
        <v>Sea</v>
      </c>
      <c r="F157">
        <v>1241.3699999999999</v>
      </c>
      <c r="G157" t="str">
        <f t="shared" si="4"/>
        <v>1001–1500</v>
      </c>
      <c r="H157" s="1">
        <v>1886</v>
      </c>
      <c r="I157" t="str">
        <f t="shared" si="5"/>
        <v>1501–2000</v>
      </c>
      <c r="J157" t="s">
        <v>14</v>
      </c>
      <c r="K157" t="str">
        <f>IF(logistics_classification_dataset__1[[#This Row],[Customer_Segment]]="Bireysel","Individual",IF(logistics_classification_dataset__1[[#This Row],[Customer_Segment]]="Kurumsal","Corporate"))</f>
        <v>Corporate</v>
      </c>
      <c r="L157">
        <v>1</v>
      </c>
    </row>
    <row r="158" spans="1:12" x14ac:dyDescent="0.35">
      <c r="A158">
        <v>157</v>
      </c>
      <c r="B158" t="s">
        <v>9</v>
      </c>
      <c r="C158" t="s">
        <v>12</v>
      </c>
      <c r="D158" t="s">
        <v>10</v>
      </c>
      <c r="E158" t="str">
        <f>IF(logistics_classification_dataset__1[[#This Row],[Shipment_Type]]="Kara","Road",IF(logistics_classification_dataset__1[[#This Row],[Shipment_Type]]="Hava","Air",IF(logistics_classification_dataset__1[[#This Row],[Shipment_Type]]="Deniz","Sea")))</f>
        <v>Road</v>
      </c>
      <c r="F158">
        <v>1792.67</v>
      </c>
      <c r="G158" t="str">
        <f t="shared" si="4"/>
        <v>1501–2000</v>
      </c>
      <c r="H158" s="1">
        <v>1579.2</v>
      </c>
      <c r="I158" t="str">
        <f t="shared" si="5"/>
        <v>1501–2000</v>
      </c>
      <c r="J158" t="s">
        <v>11</v>
      </c>
      <c r="K158" t="str">
        <f>IF(logistics_classification_dataset__1[[#This Row],[Customer_Segment]]="Bireysel","Individual",IF(logistics_classification_dataset__1[[#This Row],[Customer_Segment]]="Kurumsal","Corporate"))</f>
        <v>Individual</v>
      </c>
      <c r="L158">
        <v>1</v>
      </c>
    </row>
    <row r="159" spans="1:12" x14ac:dyDescent="0.35">
      <c r="A159">
        <v>158</v>
      </c>
      <c r="B159" t="s">
        <v>18</v>
      </c>
      <c r="C159" t="s">
        <v>16</v>
      </c>
      <c r="D159" t="s">
        <v>10</v>
      </c>
      <c r="E159" t="str">
        <f>IF(logistics_classification_dataset__1[[#This Row],[Shipment_Type]]="Kara","Road",IF(logistics_classification_dataset__1[[#This Row],[Shipment_Type]]="Hava","Air",IF(logistics_classification_dataset__1[[#This Row],[Shipment_Type]]="Deniz","Sea")))</f>
        <v>Road</v>
      </c>
      <c r="F159">
        <v>1695.15</v>
      </c>
      <c r="G159" t="str">
        <f t="shared" si="4"/>
        <v>1501–2000</v>
      </c>
      <c r="H159" s="1">
        <v>951.7</v>
      </c>
      <c r="I159" t="str">
        <f t="shared" si="5"/>
        <v>501–1000</v>
      </c>
      <c r="J159" t="s">
        <v>11</v>
      </c>
      <c r="K159" t="str">
        <f>IF(logistics_classification_dataset__1[[#This Row],[Customer_Segment]]="Bireysel","Individual",IF(logistics_classification_dataset__1[[#This Row],[Customer_Segment]]="Kurumsal","Corporate"))</f>
        <v>Individual</v>
      </c>
      <c r="L159">
        <v>1</v>
      </c>
    </row>
    <row r="160" spans="1:12" x14ac:dyDescent="0.35">
      <c r="A160">
        <v>159</v>
      </c>
      <c r="B160" t="s">
        <v>17</v>
      </c>
      <c r="C160" t="s">
        <v>16</v>
      </c>
      <c r="D160" t="s">
        <v>10</v>
      </c>
      <c r="E160" t="str">
        <f>IF(logistics_classification_dataset__1[[#This Row],[Shipment_Type]]="Kara","Road",IF(logistics_classification_dataset__1[[#This Row],[Shipment_Type]]="Hava","Air",IF(logistics_classification_dataset__1[[#This Row],[Shipment_Type]]="Deniz","Sea")))</f>
        <v>Road</v>
      </c>
      <c r="F160">
        <v>633.72</v>
      </c>
      <c r="G160" t="str">
        <f t="shared" si="4"/>
        <v>501–1000</v>
      </c>
      <c r="H160" s="1">
        <v>1736.7</v>
      </c>
      <c r="I160" t="str">
        <f t="shared" si="5"/>
        <v>1501–2000</v>
      </c>
      <c r="J160" t="s">
        <v>14</v>
      </c>
      <c r="K160" t="str">
        <f>IF(logistics_classification_dataset__1[[#This Row],[Customer_Segment]]="Bireysel","Individual",IF(logistics_classification_dataset__1[[#This Row],[Customer_Segment]]="Kurumsal","Corporate"))</f>
        <v>Corporate</v>
      </c>
      <c r="L160">
        <v>1</v>
      </c>
    </row>
    <row r="161" spans="1:12" x14ac:dyDescent="0.35">
      <c r="A161">
        <v>160</v>
      </c>
      <c r="B161" t="s">
        <v>13</v>
      </c>
      <c r="C161" t="s">
        <v>21</v>
      </c>
      <c r="D161" t="s">
        <v>15</v>
      </c>
      <c r="E161" t="str">
        <f>IF(logistics_classification_dataset__1[[#This Row],[Shipment_Type]]="Kara","Road",IF(logistics_classification_dataset__1[[#This Row],[Shipment_Type]]="Hava","Air",IF(logistics_classification_dataset__1[[#This Row],[Shipment_Type]]="Deniz","Sea")))</f>
        <v>Air</v>
      </c>
      <c r="F161">
        <v>556.09</v>
      </c>
      <c r="G161" t="str">
        <f t="shared" si="4"/>
        <v>501–1000</v>
      </c>
      <c r="H161" s="1">
        <v>536.4</v>
      </c>
      <c r="I161" t="str">
        <f t="shared" si="5"/>
        <v>501–1000</v>
      </c>
      <c r="J161" t="s">
        <v>11</v>
      </c>
      <c r="K161" t="str">
        <f>IF(logistics_classification_dataset__1[[#This Row],[Customer_Segment]]="Bireysel","Individual",IF(logistics_classification_dataset__1[[#This Row],[Customer_Segment]]="Kurumsal","Corporate"))</f>
        <v>Individual</v>
      </c>
      <c r="L161">
        <v>1</v>
      </c>
    </row>
    <row r="162" spans="1:12" x14ac:dyDescent="0.35">
      <c r="A162">
        <v>161</v>
      </c>
      <c r="B162" t="s">
        <v>21</v>
      </c>
      <c r="C162" t="s">
        <v>20</v>
      </c>
      <c r="D162" t="s">
        <v>10</v>
      </c>
      <c r="E162" t="str">
        <f>IF(logistics_classification_dataset__1[[#This Row],[Shipment_Type]]="Kara","Road",IF(logistics_classification_dataset__1[[#This Row],[Shipment_Type]]="Hava","Air",IF(logistics_classification_dataset__1[[#This Row],[Shipment_Type]]="Deniz","Sea")))</f>
        <v>Road</v>
      </c>
      <c r="F162">
        <v>196.34</v>
      </c>
      <c r="G162" t="str">
        <f t="shared" si="4"/>
        <v>0–500</v>
      </c>
      <c r="H162" s="1">
        <v>1448.4</v>
      </c>
      <c r="I162" t="str">
        <f t="shared" si="5"/>
        <v>1001–1500</v>
      </c>
      <c r="J162" t="s">
        <v>11</v>
      </c>
      <c r="K162" t="str">
        <f>IF(logistics_classification_dataset__1[[#This Row],[Customer_Segment]]="Bireysel","Individual",IF(logistics_classification_dataset__1[[#This Row],[Customer_Segment]]="Kurumsal","Corporate"))</f>
        <v>Individual</v>
      </c>
      <c r="L162">
        <v>1</v>
      </c>
    </row>
    <row r="163" spans="1:12" x14ac:dyDescent="0.35">
      <c r="A163">
        <v>162</v>
      </c>
      <c r="B163" t="s">
        <v>13</v>
      </c>
      <c r="C163" t="s">
        <v>22</v>
      </c>
      <c r="D163" t="s">
        <v>15</v>
      </c>
      <c r="E163" t="str">
        <f>IF(logistics_classification_dataset__1[[#This Row],[Shipment_Type]]="Kara","Road",IF(logistics_classification_dataset__1[[#This Row],[Shipment_Type]]="Hava","Air",IF(logistics_classification_dataset__1[[#This Row],[Shipment_Type]]="Deniz","Sea")))</f>
        <v>Air</v>
      </c>
      <c r="F163">
        <v>1056.8900000000001</v>
      </c>
      <c r="G163" t="str">
        <f t="shared" si="4"/>
        <v>1001–1500</v>
      </c>
      <c r="H163" s="1">
        <v>1719.5</v>
      </c>
      <c r="I163" t="str">
        <f t="shared" si="5"/>
        <v>1501–2000</v>
      </c>
      <c r="J163" t="s">
        <v>11</v>
      </c>
      <c r="K163" t="str">
        <f>IF(logistics_classification_dataset__1[[#This Row],[Customer_Segment]]="Bireysel","Individual",IF(logistics_classification_dataset__1[[#This Row],[Customer_Segment]]="Kurumsal","Corporate"))</f>
        <v>Individual</v>
      </c>
      <c r="L163">
        <v>1</v>
      </c>
    </row>
    <row r="164" spans="1:12" x14ac:dyDescent="0.35">
      <c r="A164">
        <v>163</v>
      </c>
      <c r="B164" t="s">
        <v>20</v>
      </c>
      <c r="C164" t="s">
        <v>16</v>
      </c>
      <c r="D164" t="s">
        <v>10</v>
      </c>
      <c r="E164" t="str">
        <f>IF(logistics_classification_dataset__1[[#This Row],[Shipment_Type]]="Kara","Road",IF(logistics_classification_dataset__1[[#This Row],[Shipment_Type]]="Hava","Air",IF(logistics_classification_dataset__1[[#This Row],[Shipment_Type]]="Deniz","Sea")))</f>
        <v>Road</v>
      </c>
      <c r="F164">
        <v>1813.31</v>
      </c>
      <c r="G164" t="str">
        <f t="shared" si="4"/>
        <v>1501–2000</v>
      </c>
      <c r="H164" s="1">
        <v>745.7</v>
      </c>
      <c r="I164" t="str">
        <f t="shared" si="5"/>
        <v>501–1000</v>
      </c>
      <c r="J164" t="s">
        <v>11</v>
      </c>
      <c r="K164" t="str">
        <f>IF(logistics_classification_dataset__1[[#This Row],[Customer_Segment]]="Bireysel","Individual",IF(logistics_classification_dataset__1[[#This Row],[Customer_Segment]]="Kurumsal","Corporate"))</f>
        <v>Individual</v>
      </c>
      <c r="L164">
        <v>1</v>
      </c>
    </row>
    <row r="165" spans="1:12" x14ac:dyDescent="0.35">
      <c r="A165">
        <v>164</v>
      </c>
      <c r="B165" t="s">
        <v>12</v>
      </c>
      <c r="C165" t="s">
        <v>18</v>
      </c>
      <c r="D165" t="s">
        <v>15</v>
      </c>
      <c r="E165" t="str">
        <f>IF(logistics_classification_dataset__1[[#This Row],[Shipment_Type]]="Kara","Road",IF(logistics_classification_dataset__1[[#This Row],[Shipment_Type]]="Hava","Air",IF(logistics_classification_dataset__1[[#This Row],[Shipment_Type]]="Deniz","Sea")))</f>
        <v>Air</v>
      </c>
      <c r="F165">
        <v>331.94</v>
      </c>
      <c r="G165" t="str">
        <f t="shared" si="4"/>
        <v>0–500</v>
      </c>
      <c r="H165" s="1">
        <v>1527.1</v>
      </c>
      <c r="I165" t="str">
        <f t="shared" si="5"/>
        <v>1501–2000</v>
      </c>
      <c r="J165" t="s">
        <v>14</v>
      </c>
      <c r="K165" t="str">
        <f>IF(logistics_classification_dataset__1[[#This Row],[Customer_Segment]]="Bireysel","Individual",IF(logistics_classification_dataset__1[[#This Row],[Customer_Segment]]="Kurumsal","Corporate"))</f>
        <v>Corporate</v>
      </c>
      <c r="L165">
        <v>0</v>
      </c>
    </row>
    <row r="166" spans="1:12" x14ac:dyDescent="0.35">
      <c r="A166">
        <v>165</v>
      </c>
      <c r="B166" t="s">
        <v>9</v>
      </c>
      <c r="C166" t="s">
        <v>12</v>
      </c>
      <c r="D166" t="s">
        <v>10</v>
      </c>
      <c r="E166" t="str">
        <f>IF(logistics_classification_dataset__1[[#This Row],[Shipment_Type]]="Kara","Road",IF(logistics_classification_dataset__1[[#This Row],[Shipment_Type]]="Hava","Air",IF(logistics_classification_dataset__1[[#This Row],[Shipment_Type]]="Deniz","Sea")))</f>
        <v>Road</v>
      </c>
      <c r="F166">
        <v>1287.42</v>
      </c>
      <c r="G166" t="str">
        <f t="shared" si="4"/>
        <v>1001–1500</v>
      </c>
      <c r="H166" s="1">
        <v>625.4</v>
      </c>
      <c r="I166" t="str">
        <f t="shared" si="5"/>
        <v>501–1000</v>
      </c>
      <c r="J166" t="s">
        <v>11</v>
      </c>
      <c r="K166" t="str">
        <f>IF(logistics_classification_dataset__1[[#This Row],[Customer_Segment]]="Bireysel","Individual",IF(logistics_classification_dataset__1[[#This Row],[Customer_Segment]]="Kurumsal","Corporate"))</f>
        <v>Individual</v>
      </c>
      <c r="L166">
        <v>1</v>
      </c>
    </row>
    <row r="167" spans="1:12" x14ac:dyDescent="0.35">
      <c r="A167">
        <v>166</v>
      </c>
      <c r="B167" t="s">
        <v>9</v>
      </c>
      <c r="C167" t="s">
        <v>17</v>
      </c>
      <c r="D167" t="s">
        <v>15</v>
      </c>
      <c r="E167" t="str">
        <f>IF(logistics_classification_dataset__1[[#This Row],[Shipment_Type]]="Kara","Road",IF(logistics_classification_dataset__1[[#This Row],[Shipment_Type]]="Hava","Air",IF(logistics_classification_dataset__1[[#This Row],[Shipment_Type]]="Deniz","Sea")))</f>
        <v>Air</v>
      </c>
      <c r="F167">
        <v>1620.67</v>
      </c>
      <c r="G167" t="str">
        <f t="shared" si="4"/>
        <v>1501–2000</v>
      </c>
      <c r="H167" s="1">
        <v>632.79999999999995</v>
      </c>
      <c r="I167" t="str">
        <f t="shared" si="5"/>
        <v>501–1000</v>
      </c>
      <c r="J167" t="s">
        <v>14</v>
      </c>
      <c r="K167" t="str">
        <f>IF(logistics_classification_dataset__1[[#This Row],[Customer_Segment]]="Bireysel","Individual",IF(logistics_classification_dataset__1[[#This Row],[Customer_Segment]]="Kurumsal","Corporate"))</f>
        <v>Corporate</v>
      </c>
      <c r="L167">
        <v>1</v>
      </c>
    </row>
    <row r="168" spans="1:12" x14ac:dyDescent="0.35">
      <c r="A168">
        <v>167</v>
      </c>
      <c r="B168" t="s">
        <v>17</v>
      </c>
      <c r="C168" t="s">
        <v>21</v>
      </c>
      <c r="D168" t="s">
        <v>15</v>
      </c>
      <c r="E168" t="str">
        <f>IF(logistics_classification_dataset__1[[#This Row],[Shipment_Type]]="Kara","Road",IF(logistics_classification_dataset__1[[#This Row],[Shipment_Type]]="Hava","Air",IF(logistics_classification_dataset__1[[#This Row],[Shipment_Type]]="Deniz","Sea")))</f>
        <v>Air</v>
      </c>
      <c r="F168">
        <v>1895.05</v>
      </c>
      <c r="G168" t="str">
        <f t="shared" si="4"/>
        <v>1501–2000</v>
      </c>
      <c r="H168" s="1">
        <v>258.8</v>
      </c>
      <c r="I168" t="str">
        <f t="shared" si="5"/>
        <v>0–500</v>
      </c>
      <c r="J168" t="s">
        <v>14</v>
      </c>
      <c r="K168" t="str">
        <f>IF(logistics_classification_dataset__1[[#This Row],[Customer_Segment]]="Bireysel","Individual",IF(logistics_classification_dataset__1[[#This Row],[Customer_Segment]]="Kurumsal","Corporate"))</f>
        <v>Corporate</v>
      </c>
      <c r="L168">
        <v>0</v>
      </c>
    </row>
    <row r="169" spans="1:12" x14ac:dyDescent="0.35">
      <c r="A169">
        <v>168</v>
      </c>
      <c r="B169" t="s">
        <v>12</v>
      </c>
      <c r="C169" t="s">
        <v>13</v>
      </c>
      <c r="D169" t="s">
        <v>10</v>
      </c>
      <c r="E169" t="str">
        <f>IF(logistics_classification_dataset__1[[#This Row],[Shipment_Type]]="Kara","Road",IF(logistics_classification_dataset__1[[#This Row],[Shipment_Type]]="Hava","Air",IF(logistics_classification_dataset__1[[#This Row],[Shipment_Type]]="Deniz","Sea")))</f>
        <v>Road</v>
      </c>
      <c r="F169">
        <v>677.99</v>
      </c>
      <c r="G169" t="str">
        <f t="shared" si="4"/>
        <v>501–1000</v>
      </c>
      <c r="H169" s="1">
        <v>908.1</v>
      </c>
      <c r="I169" t="str">
        <f t="shared" si="5"/>
        <v>501–1000</v>
      </c>
      <c r="J169" t="s">
        <v>14</v>
      </c>
      <c r="K169" t="str">
        <f>IF(logistics_classification_dataset__1[[#This Row],[Customer_Segment]]="Bireysel","Individual",IF(logistics_classification_dataset__1[[#This Row],[Customer_Segment]]="Kurumsal","Corporate"))</f>
        <v>Corporate</v>
      </c>
      <c r="L169">
        <v>1</v>
      </c>
    </row>
    <row r="170" spans="1:12" x14ac:dyDescent="0.35">
      <c r="A170">
        <v>169</v>
      </c>
      <c r="B170" t="s">
        <v>8</v>
      </c>
      <c r="C170" t="s">
        <v>9</v>
      </c>
      <c r="D170" t="s">
        <v>10</v>
      </c>
      <c r="E170" t="str">
        <f>IF(logistics_classification_dataset__1[[#This Row],[Shipment_Type]]="Kara","Road",IF(logistics_classification_dataset__1[[#This Row],[Shipment_Type]]="Hava","Air",IF(logistics_classification_dataset__1[[#This Row],[Shipment_Type]]="Deniz","Sea")))</f>
        <v>Road</v>
      </c>
      <c r="F170">
        <v>1451.34</v>
      </c>
      <c r="G170" t="str">
        <f t="shared" si="4"/>
        <v>1001–1500</v>
      </c>
      <c r="H170" s="1">
        <v>1472.9</v>
      </c>
      <c r="I170" t="str">
        <f t="shared" si="5"/>
        <v>1001–1500</v>
      </c>
      <c r="J170" t="s">
        <v>11</v>
      </c>
      <c r="K170" t="str">
        <f>IF(logistics_classification_dataset__1[[#This Row],[Customer_Segment]]="Bireysel","Individual",IF(logistics_classification_dataset__1[[#This Row],[Customer_Segment]]="Kurumsal","Corporate"))</f>
        <v>Individual</v>
      </c>
      <c r="L170">
        <v>1</v>
      </c>
    </row>
    <row r="171" spans="1:12" x14ac:dyDescent="0.35">
      <c r="A171">
        <v>170</v>
      </c>
      <c r="B171" t="s">
        <v>22</v>
      </c>
      <c r="C171" t="s">
        <v>17</v>
      </c>
      <c r="D171" t="s">
        <v>10</v>
      </c>
      <c r="E171" t="str">
        <f>IF(logistics_classification_dataset__1[[#This Row],[Shipment_Type]]="Kara","Road",IF(logistics_classification_dataset__1[[#This Row],[Shipment_Type]]="Hava","Air",IF(logistics_classification_dataset__1[[#This Row],[Shipment_Type]]="Deniz","Sea")))</f>
        <v>Road</v>
      </c>
      <c r="F171">
        <v>1079.93</v>
      </c>
      <c r="G171" t="str">
        <f t="shared" si="4"/>
        <v>1001–1500</v>
      </c>
      <c r="H171" s="1">
        <v>1883.4</v>
      </c>
      <c r="I171" t="str">
        <f t="shared" si="5"/>
        <v>1501–2000</v>
      </c>
      <c r="J171" t="s">
        <v>11</v>
      </c>
      <c r="K171" t="str">
        <f>IF(logistics_classification_dataset__1[[#This Row],[Customer_Segment]]="Bireysel","Individual",IF(logistics_classification_dataset__1[[#This Row],[Customer_Segment]]="Kurumsal","Corporate"))</f>
        <v>Individual</v>
      </c>
      <c r="L171">
        <v>1</v>
      </c>
    </row>
    <row r="172" spans="1:12" x14ac:dyDescent="0.35">
      <c r="A172">
        <v>171</v>
      </c>
      <c r="B172" t="s">
        <v>18</v>
      </c>
      <c r="C172" t="s">
        <v>13</v>
      </c>
      <c r="D172" t="s">
        <v>10</v>
      </c>
      <c r="E172" t="str">
        <f>IF(logistics_classification_dataset__1[[#This Row],[Shipment_Type]]="Kara","Road",IF(logistics_classification_dataset__1[[#This Row],[Shipment_Type]]="Hava","Air",IF(logistics_classification_dataset__1[[#This Row],[Shipment_Type]]="Deniz","Sea")))</f>
        <v>Road</v>
      </c>
      <c r="F172">
        <v>125.95</v>
      </c>
      <c r="G172" t="str">
        <f t="shared" si="4"/>
        <v>0–500</v>
      </c>
      <c r="H172" s="1">
        <v>1227.4000000000001</v>
      </c>
      <c r="I172" t="str">
        <f t="shared" si="5"/>
        <v>1001–1500</v>
      </c>
      <c r="J172" t="s">
        <v>11</v>
      </c>
      <c r="K172" t="str">
        <f>IF(logistics_classification_dataset__1[[#This Row],[Customer_Segment]]="Bireysel","Individual",IF(logistics_classification_dataset__1[[#This Row],[Customer_Segment]]="Kurumsal","Corporate"))</f>
        <v>Individual</v>
      </c>
      <c r="L172">
        <v>1</v>
      </c>
    </row>
    <row r="173" spans="1:12" x14ac:dyDescent="0.35">
      <c r="A173">
        <v>172</v>
      </c>
      <c r="B173" t="s">
        <v>9</v>
      </c>
      <c r="C173" t="s">
        <v>8</v>
      </c>
      <c r="D173" t="s">
        <v>10</v>
      </c>
      <c r="E173" t="str">
        <f>IF(logistics_classification_dataset__1[[#This Row],[Shipment_Type]]="Kara","Road",IF(logistics_classification_dataset__1[[#This Row],[Shipment_Type]]="Hava","Air",IF(logistics_classification_dataset__1[[#This Row],[Shipment_Type]]="Deniz","Sea")))</f>
        <v>Road</v>
      </c>
      <c r="F173">
        <v>1381.55</v>
      </c>
      <c r="G173" t="str">
        <f t="shared" si="4"/>
        <v>1001–1500</v>
      </c>
      <c r="H173" s="1">
        <v>1733.1</v>
      </c>
      <c r="I173" t="str">
        <f t="shared" si="5"/>
        <v>1501–2000</v>
      </c>
      <c r="J173" t="s">
        <v>11</v>
      </c>
      <c r="K173" t="str">
        <f>IF(logistics_classification_dataset__1[[#This Row],[Customer_Segment]]="Bireysel","Individual",IF(logistics_classification_dataset__1[[#This Row],[Customer_Segment]]="Kurumsal","Corporate"))</f>
        <v>Individual</v>
      </c>
      <c r="L173">
        <v>1</v>
      </c>
    </row>
    <row r="174" spans="1:12" x14ac:dyDescent="0.35">
      <c r="A174">
        <v>173</v>
      </c>
      <c r="B174" t="s">
        <v>16</v>
      </c>
      <c r="C174" t="s">
        <v>9</v>
      </c>
      <c r="D174" t="s">
        <v>15</v>
      </c>
      <c r="E174" t="str">
        <f>IF(logistics_classification_dataset__1[[#This Row],[Shipment_Type]]="Kara","Road",IF(logistics_classification_dataset__1[[#This Row],[Shipment_Type]]="Hava","Air",IF(logistics_classification_dataset__1[[#This Row],[Shipment_Type]]="Deniz","Sea")))</f>
        <v>Air</v>
      </c>
      <c r="F174">
        <v>1381.74</v>
      </c>
      <c r="G174" t="str">
        <f t="shared" si="4"/>
        <v>1001–1500</v>
      </c>
      <c r="H174" s="1">
        <v>1653.9</v>
      </c>
      <c r="I174" t="str">
        <f t="shared" si="5"/>
        <v>1501–2000</v>
      </c>
      <c r="J174" t="s">
        <v>14</v>
      </c>
      <c r="K174" t="str">
        <f>IF(logistics_classification_dataset__1[[#This Row],[Customer_Segment]]="Bireysel","Individual",IF(logistics_classification_dataset__1[[#This Row],[Customer_Segment]]="Kurumsal","Corporate"))</f>
        <v>Corporate</v>
      </c>
      <c r="L174">
        <v>1</v>
      </c>
    </row>
    <row r="175" spans="1:12" x14ac:dyDescent="0.35">
      <c r="A175">
        <v>174</v>
      </c>
      <c r="B175" t="s">
        <v>9</v>
      </c>
      <c r="C175" t="s">
        <v>22</v>
      </c>
      <c r="D175" t="s">
        <v>10</v>
      </c>
      <c r="E175" t="str">
        <f>IF(logistics_classification_dataset__1[[#This Row],[Shipment_Type]]="Kara","Road",IF(logistics_classification_dataset__1[[#This Row],[Shipment_Type]]="Hava","Air",IF(logistics_classification_dataset__1[[#This Row],[Shipment_Type]]="Deniz","Sea")))</f>
        <v>Road</v>
      </c>
      <c r="F175">
        <v>1861.56</v>
      </c>
      <c r="G175" t="str">
        <f t="shared" si="4"/>
        <v>1501–2000</v>
      </c>
      <c r="H175" s="1">
        <v>388</v>
      </c>
      <c r="I175" t="str">
        <f t="shared" si="5"/>
        <v>0–500</v>
      </c>
      <c r="J175" t="s">
        <v>11</v>
      </c>
      <c r="K175" t="str">
        <f>IF(logistics_classification_dataset__1[[#This Row],[Customer_Segment]]="Bireysel","Individual",IF(logistics_classification_dataset__1[[#This Row],[Customer_Segment]]="Kurumsal","Corporate"))</f>
        <v>Individual</v>
      </c>
      <c r="L175">
        <v>1</v>
      </c>
    </row>
    <row r="176" spans="1:12" x14ac:dyDescent="0.35">
      <c r="A176">
        <v>175</v>
      </c>
      <c r="B176" t="s">
        <v>13</v>
      </c>
      <c r="C176" t="s">
        <v>18</v>
      </c>
      <c r="D176" t="s">
        <v>10</v>
      </c>
      <c r="E176" t="str">
        <f>IF(logistics_classification_dataset__1[[#This Row],[Shipment_Type]]="Kara","Road",IF(logistics_classification_dataset__1[[#This Row],[Shipment_Type]]="Hava","Air",IF(logistics_classification_dataset__1[[#This Row],[Shipment_Type]]="Deniz","Sea")))</f>
        <v>Road</v>
      </c>
      <c r="F176">
        <v>997.14</v>
      </c>
      <c r="G176" t="str">
        <f t="shared" si="4"/>
        <v>501–1000</v>
      </c>
      <c r="H176" s="1">
        <v>997.3</v>
      </c>
      <c r="I176" t="str">
        <f t="shared" si="5"/>
        <v>501–1000</v>
      </c>
      <c r="J176" t="s">
        <v>11</v>
      </c>
      <c r="K176" t="str">
        <f>IF(logistics_classification_dataset__1[[#This Row],[Customer_Segment]]="Bireysel","Individual",IF(logistics_classification_dataset__1[[#This Row],[Customer_Segment]]="Kurumsal","Corporate"))</f>
        <v>Individual</v>
      </c>
      <c r="L176">
        <v>1</v>
      </c>
    </row>
    <row r="177" spans="1:12" x14ac:dyDescent="0.35">
      <c r="A177">
        <v>176</v>
      </c>
      <c r="B177" t="s">
        <v>9</v>
      </c>
      <c r="C177" t="s">
        <v>12</v>
      </c>
      <c r="D177" t="s">
        <v>10</v>
      </c>
      <c r="E177" t="str">
        <f>IF(logistics_classification_dataset__1[[#This Row],[Shipment_Type]]="Kara","Road",IF(logistics_classification_dataset__1[[#This Row],[Shipment_Type]]="Hava","Air",IF(logistics_classification_dataset__1[[#This Row],[Shipment_Type]]="Deniz","Sea")))</f>
        <v>Road</v>
      </c>
      <c r="F177">
        <v>464.35</v>
      </c>
      <c r="G177" t="str">
        <f t="shared" si="4"/>
        <v>0–500</v>
      </c>
      <c r="H177" s="1">
        <v>278</v>
      </c>
      <c r="I177" t="str">
        <f t="shared" si="5"/>
        <v>0–500</v>
      </c>
      <c r="J177" t="s">
        <v>11</v>
      </c>
      <c r="K177" t="str">
        <f>IF(logistics_classification_dataset__1[[#This Row],[Customer_Segment]]="Bireysel","Individual",IF(logistics_classification_dataset__1[[#This Row],[Customer_Segment]]="Kurumsal","Corporate"))</f>
        <v>Individual</v>
      </c>
      <c r="L177">
        <v>0</v>
      </c>
    </row>
    <row r="178" spans="1:12" x14ac:dyDescent="0.35">
      <c r="A178">
        <v>177</v>
      </c>
      <c r="B178" t="s">
        <v>9</v>
      </c>
      <c r="C178" t="s">
        <v>20</v>
      </c>
      <c r="D178" t="s">
        <v>10</v>
      </c>
      <c r="E178" t="str">
        <f>IF(logistics_classification_dataset__1[[#This Row],[Shipment_Type]]="Kara","Road",IF(logistics_classification_dataset__1[[#This Row],[Shipment_Type]]="Hava","Air",IF(logistics_classification_dataset__1[[#This Row],[Shipment_Type]]="Deniz","Sea")))</f>
        <v>Road</v>
      </c>
      <c r="F178">
        <v>9.39</v>
      </c>
      <c r="G178" t="str">
        <f t="shared" si="4"/>
        <v>0–500</v>
      </c>
      <c r="H178" s="1">
        <v>1380.2</v>
      </c>
      <c r="I178" t="str">
        <f t="shared" si="5"/>
        <v>1001–1500</v>
      </c>
      <c r="J178" t="s">
        <v>14</v>
      </c>
      <c r="K178" t="str">
        <f>IF(logistics_classification_dataset__1[[#This Row],[Customer_Segment]]="Bireysel","Individual",IF(logistics_classification_dataset__1[[#This Row],[Customer_Segment]]="Kurumsal","Corporate"))</f>
        <v>Corporate</v>
      </c>
      <c r="L178">
        <v>0</v>
      </c>
    </row>
    <row r="179" spans="1:12" x14ac:dyDescent="0.35">
      <c r="A179">
        <v>178</v>
      </c>
      <c r="B179" t="s">
        <v>22</v>
      </c>
      <c r="C179" t="s">
        <v>13</v>
      </c>
      <c r="D179" t="s">
        <v>15</v>
      </c>
      <c r="E179" t="str">
        <f>IF(logistics_classification_dataset__1[[#This Row],[Shipment_Type]]="Kara","Road",IF(logistics_classification_dataset__1[[#This Row],[Shipment_Type]]="Hava","Air",IF(logistics_classification_dataset__1[[#This Row],[Shipment_Type]]="Deniz","Sea")))</f>
        <v>Air</v>
      </c>
      <c r="F179">
        <v>834.21</v>
      </c>
      <c r="G179" t="str">
        <f t="shared" si="4"/>
        <v>501–1000</v>
      </c>
      <c r="H179" s="1">
        <v>1902.3</v>
      </c>
      <c r="I179" t="str">
        <f t="shared" si="5"/>
        <v>1501–2000</v>
      </c>
      <c r="J179" t="s">
        <v>14</v>
      </c>
      <c r="K179" t="str">
        <f>IF(logistics_classification_dataset__1[[#This Row],[Customer_Segment]]="Bireysel","Individual",IF(logistics_classification_dataset__1[[#This Row],[Customer_Segment]]="Kurumsal","Corporate"))</f>
        <v>Corporate</v>
      </c>
      <c r="L179">
        <v>1</v>
      </c>
    </row>
    <row r="180" spans="1:12" x14ac:dyDescent="0.35">
      <c r="A180">
        <v>179</v>
      </c>
      <c r="B180" t="s">
        <v>22</v>
      </c>
      <c r="C180" t="s">
        <v>13</v>
      </c>
      <c r="D180" t="s">
        <v>10</v>
      </c>
      <c r="E180" t="str">
        <f>IF(logistics_classification_dataset__1[[#This Row],[Shipment_Type]]="Kara","Road",IF(logistics_classification_dataset__1[[#This Row],[Shipment_Type]]="Hava","Air",IF(logistics_classification_dataset__1[[#This Row],[Shipment_Type]]="Deniz","Sea")))</f>
        <v>Road</v>
      </c>
      <c r="F180">
        <v>607.32000000000005</v>
      </c>
      <c r="G180" t="str">
        <f t="shared" si="4"/>
        <v>501–1000</v>
      </c>
      <c r="H180" s="1">
        <v>317.3</v>
      </c>
      <c r="I180" t="str">
        <f t="shared" si="5"/>
        <v>0–500</v>
      </c>
      <c r="J180" t="s">
        <v>11</v>
      </c>
      <c r="K180" t="str">
        <f>IF(logistics_classification_dataset__1[[#This Row],[Customer_Segment]]="Bireysel","Individual",IF(logistics_classification_dataset__1[[#This Row],[Customer_Segment]]="Kurumsal","Corporate"))</f>
        <v>Individual</v>
      </c>
      <c r="L180">
        <v>1</v>
      </c>
    </row>
    <row r="181" spans="1:12" x14ac:dyDescent="0.35">
      <c r="A181">
        <v>180</v>
      </c>
      <c r="B181" t="s">
        <v>21</v>
      </c>
      <c r="C181" t="s">
        <v>20</v>
      </c>
      <c r="D181" t="s">
        <v>15</v>
      </c>
      <c r="E181" t="str">
        <f>IF(logistics_classification_dataset__1[[#This Row],[Shipment_Type]]="Kara","Road",IF(logistics_classification_dataset__1[[#This Row],[Shipment_Type]]="Hava","Air",IF(logistics_classification_dataset__1[[#This Row],[Shipment_Type]]="Deniz","Sea")))</f>
        <v>Air</v>
      </c>
      <c r="F181">
        <v>1523.37</v>
      </c>
      <c r="G181" t="str">
        <f t="shared" si="4"/>
        <v>1501–2000</v>
      </c>
      <c r="H181" s="1">
        <v>1481.1</v>
      </c>
      <c r="I181" t="str">
        <f t="shared" si="5"/>
        <v>1001–1500</v>
      </c>
      <c r="J181" t="s">
        <v>14</v>
      </c>
      <c r="K181" t="str">
        <f>IF(logistics_classification_dataset__1[[#This Row],[Customer_Segment]]="Bireysel","Individual",IF(logistics_classification_dataset__1[[#This Row],[Customer_Segment]]="Kurumsal","Corporate"))</f>
        <v>Corporate</v>
      </c>
      <c r="L181">
        <v>1</v>
      </c>
    </row>
    <row r="182" spans="1:12" x14ac:dyDescent="0.35">
      <c r="A182">
        <v>181</v>
      </c>
      <c r="B182" t="s">
        <v>8</v>
      </c>
      <c r="C182" t="s">
        <v>13</v>
      </c>
      <c r="D182" t="s">
        <v>15</v>
      </c>
      <c r="E182" t="str">
        <f>IF(logistics_classification_dataset__1[[#This Row],[Shipment_Type]]="Kara","Road",IF(logistics_classification_dataset__1[[#This Row],[Shipment_Type]]="Hava","Air",IF(logistics_classification_dataset__1[[#This Row],[Shipment_Type]]="Deniz","Sea")))</f>
        <v>Air</v>
      </c>
      <c r="F182">
        <v>711.76</v>
      </c>
      <c r="G182" t="str">
        <f t="shared" si="4"/>
        <v>501–1000</v>
      </c>
      <c r="H182" s="1">
        <v>1282.9000000000001</v>
      </c>
      <c r="I182" t="str">
        <f t="shared" si="5"/>
        <v>1001–1500</v>
      </c>
      <c r="J182" t="s">
        <v>11</v>
      </c>
      <c r="K182" t="str">
        <f>IF(logistics_classification_dataset__1[[#This Row],[Customer_Segment]]="Bireysel","Individual",IF(logistics_classification_dataset__1[[#This Row],[Customer_Segment]]="Kurumsal","Corporate"))</f>
        <v>Individual</v>
      </c>
      <c r="L182">
        <v>0</v>
      </c>
    </row>
    <row r="183" spans="1:12" x14ac:dyDescent="0.35">
      <c r="A183">
        <v>182</v>
      </c>
      <c r="B183" t="s">
        <v>16</v>
      </c>
      <c r="C183" t="s">
        <v>20</v>
      </c>
      <c r="D183" t="s">
        <v>15</v>
      </c>
      <c r="E183" t="str">
        <f>IF(logistics_classification_dataset__1[[#This Row],[Shipment_Type]]="Kara","Road",IF(logistics_classification_dataset__1[[#This Row],[Shipment_Type]]="Hava","Air",IF(logistics_classification_dataset__1[[#This Row],[Shipment_Type]]="Deniz","Sea")))</f>
        <v>Air</v>
      </c>
      <c r="F183">
        <v>189.84</v>
      </c>
      <c r="G183" t="str">
        <f t="shared" si="4"/>
        <v>0–500</v>
      </c>
      <c r="H183" s="1">
        <v>1188</v>
      </c>
      <c r="I183" t="str">
        <f t="shared" si="5"/>
        <v>1001–1500</v>
      </c>
      <c r="J183" t="s">
        <v>11</v>
      </c>
      <c r="K183" t="str">
        <f>IF(logistics_classification_dataset__1[[#This Row],[Customer_Segment]]="Bireysel","Individual",IF(logistics_classification_dataset__1[[#This Row],[Customer_Segment]]="Kurumsal","Corporate"))</f>
        <v>Individual</v>
      </c>
      <c r="L183">
        <v>1</v>
      </c>
    </row>
    <row r="184" spans="1:12" x14ac:dyDescent="0.35">
      <c r="A184">
        <v>183</v>
      </c>
      <c r="B184" t="s">
        <v>9</v>
      </c>
      <c r="C184" t="s">
        <v>21</v>
      </c>
      <c r="D184" t="s">
        <v>15</v>
      </c>
      <c r="E184" t="str">
        <f>IF(logistics_classification_dataset__1[[#This Row],[Shipment_Type]]="Kara","Road",IF(logistics_classification_dataset__1[[#This Row],[Shipment_Type]]="Hava","Air",IF(logistics_classification_dataset__1[[#This Row],[Shipment_Type]]="Deniz","Sea")))</f>
        <v>Air</v>
      </c>
      <c r="F184">
        <v>1924.81</v>
      </c>
      <c r="G184" t="str">
        <f t="shared" si="4"/>
        <v>1501–2000</v>
      </c>
      <c r="H184" s="1">
        <v>810.7</v>
      </c>
      <c r="I184" t="str">
        <f t="shared" si="5"/>
        <v>501–1000</v>
      </c>
      <c r="J184" t="s">
        <v>14</v>
      </c>
      <c r="K184" t="str">
        <f>IF(logistics_classification_dataset__1[[#This Row],[Customer_Segment]]="Bireysel","Individual",IF(logistics_classification_dataset__1[[#This Row],[Customer_Segment]]="Kurumsal","Corporate"))</f>
        <v>Corporate</v>
      </c>
      <c r="L184">
        <v>1</v>
      </c>
    </row>
    <row r="185" spans="1:12" x14ac:dyDescent="0.35">
      <c r="A185">
        <v>184</v>
      </c>
      <c r="B185" t="s">
        <v>9</v>
      </c>
      <c r="C185" t="s">
        <v>21</v>
      </c>
      <c r="D185" t="s">
        <v>10</v>
      </c>
      <c r="E185" t="str">
        <f>IF(logistics_classification_dataset__1[[#This Row],[Shipment_Type]]="Kara","Road",IF(logistics_classification_dataset__1[[#This Row],[Shipment_Type]]="Hava","Air",IF(logistics_classification_dataset__1[[#This Row],[Shipment_Type]]="Deniz","Sea")))</f>
        <v>Road</v>
      </c>
      <c r="F185">
        <v>1243.71</v>
      </c>
      <c r="G185" t="str">
        <f t="shared" si="4"/>
        <v>1001–1500</v>
      </c>
      <c r="H185" s="1">
        <v>742.5</v>
      </c>
      <c r="I185" t="str">
        <f t="shared" si="5"/>
        <v>501–1000</v>
      </c>
      <c r="J185" t="s">
        <v>11</v>
      </c>
      <c r="K185" t="str">
        <f>IF(logistics_classification_dataset__1[[#This Row],[Customer_Segment]]="Bireysel","Individual",IF(logistics_classification_dataset__1[[#This Row],[Customer_Segment]]="Kurumsal","Corporate"))</f>
        <v>Individual</v>
      </c>
      <c r="L185">
        <v>1</v>
      </c>
    </row>
    <row r="186" spans="1:12" x14ac:dyDescent="0.35">
      <c r="A186">
        <v>185</v>
      </c>
      <c r="B186" t="s">
        <v>18</v>
      </c>
      <c r="C186" t="s">
        <v>12</v>
      </c>
      <c r="D186" t="s">
        <v>19</v>
      </c>
      <c r="E186" t="str">
        <f>IF(logistics_classification_dataset__1[[#This Row],[Shipment_Type]]="Kara","Road",IF(logistics_classification_dataset__1[[#This Row],[Shipment_Type]]="Hava","Air",IF(logistics_classification_dataset__1[[#This Row],[Shipment_Type]]="Deniz","Sea")))</f>
        <v>Sea</v>
      </c>
      <c r="F186">
        <v>1857.68</v>
      </c>
      <c r="G186" t="str">
        <f t="shared" si="4"/>
        <v>1501–2000</v>
      </c>
      <c r="H186" s="1">
        <v>138.19999999999999</v>
      </c>
      <c r="I186" t="str">
        <f t="shared" si="5"/>
        <v>0–500</v>
      </c>
      <c r="J186" t="s">
        <v>14</v>
      </c>
      <c r="K186" t="str">
        <f>IF(logistics_classification_dataset__1[[#This Row],[Customer_Segment]]="Bireysel","Individual",IF(logistics_classification_dataset__1[[#This Row],[Customer_Segment]]="Kurumsal","Corporate"))</f>
        <v>Corporate</v>
      </c>
      <c r="L186">
        <v>1</v>
      </c>
    </row>
    <row r="187" spans="1:12" x14ac:dyDescent="0.35">
      <c r="A187">
        <v>186</v>
      </c>
      <c r="B187" t="s">
        <v>22</v>
      </c>
      <c r="C187" t="s">
        <v>17</v>
      </c>
      <c r="D187" t="s">
        <v>10</v>
      </c>
      <c r="E187" t="str">
        <f>IF(logistics_classification_dataset__1[[#This Row],[Shipment_Type]]="Kara","Road",IF(logistics_classification_dataset__1[[#This Row],[Shipment_Type]]="Hava","Air",IF(logistics_classification_dataset__1[[#This Row],[Shipment_Type]]="Deniz","Sea")))</f>
        <v>Road</v>
      </c>
      <c r="F187">
        <v>152.29</v>
      </c>
      <c r="G187" t="str">
        <f t="shared" si="4"/>
        <v>0–500</v>
      </c>
      <c r="H187" s="1">
        <v>474.9</v>
      </c>
      <c r="I187" t="str">
        <f t="shared" si="5"/>
        <v>0–500</v>
      </c>
      <c r="J187" t="s">
        <v>11</v>
      </c>
      <c r="K187" t="str">
        <f>IF(logistics_classification_dataset__1[[#This Row],[Customer_Segment]]="Bireysel","Individual",IF(logistics_classification_dataset__1[[#This Row],[Customer_Segment]]="Kurumsal","Corporate"))</f>
        <v>Individual</v>
      </c>
      <c r="L187">
        <v>1</v>
      </c>
    </row>
    <row r="188" spans="1:12" x14ac:dyDescent="0.35">
      <c r="A188">
        <v>187</v>
      </c>
      <c r="B188" t="s">
        <v>16</v>
      </c>
      <c r="C188" t="s">
        <v>17</v>
      </c>
      <c r="D188" t="s">
        <v>10</v>
      </c>
      <c r="E188" t="str">
        <f>IF(logistics_classification_dataset__1[[#This Row],[Shipment_Type]]="Kara","Road",IF(logistics_classification_dataset__1[[#This Row],[Shipment_Type]]="Hava","Air",IF(logistics_classification_dataset__1[[#This Row],[Shipment_Type]]="Deniz","Sea")))</f>
        <v>Road</v>
      </c>
      <c r="F188">
        <v>1095.98</v>
      </c>
      <c r="G188" t="str">
        <f t="shared" si="4"/>
        <v>1001–1500</v>
      </c>
      <c r="H188" s="1">
        <v>79.599999999999994</v>
      </c>
      <c r="I188" t="str">
        <f t="shared" si="5"/>
        <v>0–500</v>
      </c>
      <c r="J188" t="s">
        <v>11</v>
      </c>
      <c r="K188" t="str">
        <f>IF(logistics_classification_dataset__1[[#This Row],[Customer_Segment]]="Bireysel","Individual",IF(logistics_classification_dataset__1[[#This Row],[Customer_Segment]]="Kurumsal","Corporate"))</f>
        <v>Individual</v>
      </c>
      <c r="L188">
        <v>1</v>
      </c>
    </row>
    <row r="189" spans="1:12" x14ac:dyDescent="0.35">
      <c r="A189">
        <v>188</v>
      </c>
      <c r="B189" t="s">
        <v>17</v>
      </c>
      <c r="C189" t="s">
        <v>22</v>
      </c>
      <c r="D189" t="s">
        <v>15</v>
      </c>
      <c r="E189" t="str">
        <f>IF(logistics_classification_dataset__1[[#This Row],[Shipment_Type]]="Kara","Road",IF(logistics_classification_dataset__1[[#This Row],[Shipment_Type]]="Hava","Air",IF(logistics_classification_dataset__1[[#This Row],[Shipment_Type]]="Deniz","Sea")))</f>
        <v>Air</v>
      </c>
      <c r="F189">
        <v>364.71</v>
      </c>
      <c r="G189" t="str">
        <f t="shared" si="4"/>
        <v>0–500</v>
      </c>
      <c r="H189" s="1">
        <v>1183.8</v>
      </c>
      <c r="I189" t="str">
        <f t="shared" si="5"/>
        <v>1001–1500</v>
      </c>
      <c r="J189" t="s">
        <v>14</v>
      </c>
      <c r="K189" t="str">
        <f>IF(logistics_classification_dataset__1[[#This Row],[Customer_Segment]]="Bireysel","Individual",IF(logistics_classification_dataset__1[[#This Row],[Customer_Segment]]="Kurumsal","Corporate"))</f>
        <v>Corporate</v>
      </c>
      <c r="L189">
        <v>1</v>
      </c>
    </row>
    <row r="190" spans="1:12" x14ac:dyDescent="0.35">
      <c r="A190">
        <v>189</v>
      </c>
      <c r="B190" t="s">
        <v>21</v>
      </c>
      <c r="C190" t="s">
        <v>8</v>
      </c>
      <c r="D190" t="s">
        <v>19</v>
      </c>
      <c r="E190" t="str">
        <f>IF(logistics_classification_dataset__1[[#This Row],[Shipment_Type]]="Kara","Road",IF(logistics_classification_dataset__1[[#This Row],[Shipment_Type]]="Hava","Air",IF(logistics_classification_dataset__1[[#This Row],[Shipment_Type]]="Deniz","Sea")))</f>
        <v>Sea</v>
      </c>
      <c r="F190">
        <v>91.99</v>
      </c>
      <c r="G190" t="str">
        <f t="shared" si="4"/>
        <v>0–500</v>
      </c>
      <c r="H190" s="1">
        <v>256.39999999999998</v>
      </c>
      <c r="I190" t="str">
        <f t="shared" si="5"/>
        <v>0–500</v>
      </c>
      <c r="J190" t="s">
        <v>11</v>
      </c>
      <c r="K190" t="str">
        <f>IF(logistics_classification_dataset__1[[#This Row],[Customer_Segment]]="Bireysel","Individual",IF(logistics_classification_dataset__1[[#This Row],[Customer_Segment]]="Kurumsal","Corporate"))</f>
        <v>Individual</v>
      </c>
      <c r="L190">
        <v>1</v>
      </c>
    </row>
    <row r="191" spans="1:12" x14ac:dyDescent="0.35">
      <c r="A191">
        <v>190</v>
      </c>
      <c r="B191" t="s">
        <v>8</v>
      </c>
      <c r="C191" t="s">
        <v>16</v>
      </c>
      <c r="D191" t="s">
        <v>15</v>
      </c>
      <c r="E191" t="str">
        <f>IF(logistics_classification_dataset__1[[#This Row],[Shipment_Type]]="Kara","Road",IF(logistics_classification_dataset__1[[#This Row],[Shipment_Type]]="Hava","Air",IF(logistics_classification_dataset__1[[#This Row],[Shipment_Type]]="Deniz","Sea")))</f>
        <v>Air</v>
      </c>
      <c r="F191">
        <v>1123.94</v>
      </c>
      <c r="G191" t="str">
        <f t="shared" si="4"/>
        <v>1001–1500</v>
      </c>
      <c r="H191" s="1">
        <v>1752.4</v>
      </c>
      <c r="I191" t="str">
        <f t="shared" si="5"/>
        <v>1501–2000</v>
      </c>
      <c r="J191" t="s">
        <v>14</v>
      </c>
      <c r="K191" t="str">
        <f>IF(logistics_classification_dataset__1[[#This Row],[Customer_Segment]]="Bireysel","Individual",IF(logistics_classification_dataset__1[[#This Row],[Customer_Segment]]="Kurumsal","Corporate"))</f>
        <v>Corporate</v>
      </c>
      <c r="L191">
        <v>1</v>
      </c>
    </row>
    <row r="192" spans="1:12" x14ac:dyDescent="0.35">
      <c r="A192">
        <v>191</v>
      </c>
      <c r="B192" t="s">
        <v>12</v>
      </c>
      <c r="C192" t="s">
        <v>21</v>
      </c>
      <c r="D192" t="s">
        <v>10</v>
      </c>
      <c r="E192" t="str">
        <f>IF(logistics_classification_dataset__1[[#This Row],[Shipment_Type]]="Kara","Road",IF(logistics_classification_dataset__1[[#This Row],[Shipment_Type]]="Hava","Air",IF(logistics_classification_dataset__1[[#This Row],[Shipment_Type]]="Deniz","Sea")))</f>
        <v>Road</v>
      </c>
      <c r="F192">
        <v>172.86</v>
      </c>
      <c r="G192" t="str">
        <f t="shared" si="4"/>
        <v>0–500</v>
      </c>
      <c r="H192" s="1">
        <v>1070.0999999999999</v>
      </c>
      <c r="I192" t="str">
        <f t="shared" si="5"/>
        <v>1001–1500</v>
      </c>
      <c r="J192" t="s">
        <v>14</v>
      </c>
      <c r="K192" t="str">
        <f>IF(logistics_classification_dataset__1[[#This Row],[Customer_Segment]]="Bireysel","Individual",IF(logistics_classification_dataset__1[[#This Row],[Customer_Segment]]="Kurumsal","Corporate"))</f>
        <v>Corporate</v>
      </c>
      <c r="L192">
        <v>1</v>
      </c>
    </row>
    <row r="193" spans="1:12" x14ac:dyDescent="0.35">
      <c r="A193">
        <v>192</v>
      </c>
      <c r="B193" t="s">
        <v>8</v>
      </c>
      <c r="C193" t="s">
        <v>22</v>
      </c>
      <c r="D193" t="s">
        <v>10</v>
      </c>
      <c r="E193" t="str">
        <f>IF(logistics_classification_dataset__1[[#This Row],[Shipment_Type]]="Kara","Road",IF(logistics_classification_dataset__1[[#This Row],[Shipment_Type]]="Hava","Air",IF(logistics_classification_dataset__1[[#This Row],[Shipment_Type]]="Deniz","Sea")))</f>
        <v>Road</v>
      </c>
      <c r="F193">
        <v>965.26</v>
      </c>
      <c r="G193" t="str">
        <f t="shared" si="4"/>
        <v>501–1000</v>
      </c>
      <c r="H193" s="1">
        <v>1414.4</v>
      </c>
      <c r="I193" t="str">
        <f t="shared" si="5"/>
        <v>1001–1500</v>
      </c>
      <c r="J193" t="s">
        <v>11</v>
      </c>
      <c r="K193" t="str">
        <f>IF(logistics_classification_dataset__1[[#This Row],[Customer_Segment]]="Bireysel","Individual",IF(logistics_classification_dataset__1[[#This Row],[Customer_Segment]]="Kurumsal","Corporate"))</f>
        <v>Individual</v>
      </c>
      <c r="L193">
        <v>0</v>
      </c>
    </row>
    <row r="194" spans="1:12" x14ac:dyDescent="0.35">
      <c r="A194">
        <v>193</v>
      </c>
      <c r="B194" t="s">
        <v>13</v>
      </c>
      <c r="C194" t="s">
        <v>16</v>
      </c>
      <c r="D194" t="s">
        <v>19</v>
      </c>
      <c r="E194" t="str">
        <f>IF(logistics_classification_dataset__1[[#This Row],[Shipment_Type]]="Kara","Road",IF(logistics_classification_dataset__1[[#This Row],[Shipment_Type]]="Hava","Air",IF(logistics_classification_dataset__1[[#This Row],[Shipment_Type]]="Deniz","Sea")))</f>
        <v>Sea</v>
      </c>
      <c r="F194">
        <v>1795.86</v>
      </c>
      <c r="G194" t="str">
        <f t="shared" ref="G194:G257" si="6">IF(F194&lt;=500,"0–500",IF(F194&lt;=1000,"501–1000",IF(F194&lt;=1500,"1001–1500","1501–2000")))</f>
        <v>1501–2000</v>
      </c>
      <c r="H194" s="1">
        <v>851.2</v>
      </c>
      <c r="I194" t="str">
        <f t="shared" ref="I194:I257" si="7">IF(H194&lt;=500,"0–500",IF(H194&lt;=1000,"501–1000",IF(H194&lt;=1500,"1001–1500",IF(H194&lt;=2000,"1501–2000","&gt;2000"))))</f>
        <v>501–1000</v>
      </c>
      <c r="J194" t="s">
        <v>11</v>
      </c>
      <c r="K194" t="str">
        <f>IF(logistics_classification_dataset__1[[#This Row],[Customer_Segment]]="Bireysel","Individual",IF(logistics_classification_dataset__1[[#This Row],[Customer_Segment]]="Kurumsal","Corporate"))</f>
        <v>Individual</v>
      </c>
      <c r="L194">
        <v>0</v>
      </c>
    </row>
    <row r="195" spans="1:12" x14ac:dyDescent="0.35">
      <c r="A195">
        <v>194</v>
      </c>
      <c r="B195" t="s">
        <v>9</v>
      </c>
      <c r="C195" t="s">
        <v>17</v>
      </c>
      <c r="D195" t="s">
        <v>10</v>
      </c>
      <c r="E195" t="str">
        <f>IF(logistics_classification_dataset__1[[#This Row],[Shipment_Type]]="Kara","Road",IF(logistics_classification_dataset__1[[#This Row],[Shipment_Type]]="Hava","Air",IF(logistics_classification_dataset__1[[#This Row],[Shipment_Type]]="Deniz","Sea")))</f>
        <v>Road</v>
      </c>
      <c r="F195">
        <v>1350.33</v>
      </c>
      <c r="G195" t="str">
        <f t="shared" si="6"/>
        <v>1001–1500</v>
      </c>
      <c r="H195" s="1">
        <v>1143.0999999999999</v>
      </c>
      <c r="I195" t="str">
        <f t="shared" si="7"/>
        <v>1001–1500</v>
      </c>
      <c r="J195" t="s">
        <v>11</v>
      </c>
      <c r="K195" t="str">
        <f>IF(logistics_classification_dataset__1[[#This Row],[Customer_Segment]]="Bireysel","Individual",IF(logistics_classification_dataset__1[[#This Row],[Customer_Segment]]="Kurumsal","Corporate"))</f>
        <v>Individual</v>
      </c>
      <c r="L195">
        <v>0</v>
      </c>
    </row>
    <row r="196" spans="1:12" x14ac:dyDescent="0.35">
      <c r="A196">
        <v>195</v>
      </c>
      <c r="B196" t="s">
        <v>21</v>
      </c>
      <c r="C196" t="s">
        <v>12</v>
      </c>
      <c r="D196" t="s">
        <v>15</v>
      </c>
      <c r="E196" t="str">
        <f>IF(logistics_classification_dataset__1[[#This Row],[Shipment_Type]]="Kara","Road",IF(logistics_classification_dataset__1[[#This Row],[Shipment_Type]]="Hava","Air",IF(logistics_classification_dataset__1[[#This Row],[Shipment_Type]]="Deniz","Sea")))</f>
        <v>Air</v>
      </c>
      <c r="F196">
        <v>278.31</v>
      </c>
      <c r="G196" t="str">
        <f t="shared" si="6"/>
        <v>0–500</v>
      </c>
      <c r="H196" s="1">
        <v>1888.2</v>
      </c>
      <c r="I196" t="str">
        <f t="shared" si="7"/>
        <v>1501–2000</v>
      </c>
      <c r="J196" t="s">
        <v>11</v>
      </c>
      <c r="K196" t="str">
        <f>IF(logistics_classification_dataset__1[[#This Row],[Customer_Segment]]="Bireysel","Individual",IF(logistics_classification_dataset__1[[#This Row],[Customer_Segment]]="Kurumsal","Corporate"))</f>
        <v>Individual</v>
      </c>
      <c r="L196">
        <v>0</v>
      </c>
    </row>
    <row r="197" spans="1:12" x14ac:dyDescent="0.35">
      <c r="A197">
        <v>196</v>
      </c>
      <c r="B197" t="s">
        <v>13</v>
      </c>
      <c r="C197" t="s">
        <v>20</v>
      </c>
      <c r="D197" t="s">
        <v>15</v>
      </c>
      <c r="E197" t="str">
        <f>IF(logistics_classification_dataset__1[[#This Row],[Shipment_Type]]="Kara","Road",IF(logistics_classification_dataset__1[[#This Row],[Shipment_Type]]="Hava","Air",IF(logistics_classification_dataset__1[[#This Row],[Shipment_Type]]="Deniz","Sea")))</f>
        <v>Air</v>
      </c>
      <c r="F197">
        <v>1989.99</v>
      </c>
      <c r="G197" t="str">
        <f t="shared" si="6"/>
        <v>1501–2000</v>
      </c>
      <c r="H197" s="1">
        <v>211.3</v>
      </c>
      <c r="I197" t="str">
        <f t="shared" si="7"/>
        <v>0–500</v>
      </c>
      <c r="J197" t="s">
        <v>11</v>
      </c>
      <c r="K197" t="str">
        <f>IF(logistics_classification_dataset__1[[#This Row],[Customer_Segment]]="Bireysel","Individual",IF(logistics_classification_dataset__1[[#This Row],[Customer_Segment]]="Kurumsal","Corporate"))</f>
        <v>Individual</v>
      </c>
      <c r="L197">
        <v>1</v>
      </c>
    </row>
    <row r="198" spans="1:12" x14ac:dyDescent="0.35">
      <c r="A198">
        <v>197</v>
      </c>
      <c r="B198" t="s">
        <v>16</v>
      </c>
      <c r="C198" t="s">
        <v>21</v>
      </c>
      <c r="D198" t="s">
        <v>10</v>
      </c>
      <c r="E198" t="str">
        <f>IF(logistics_classification_dataset__1[[#This Row],[Shipment_Type]]="Kara","Road",IF(logistics_classification_dataset__1[[#This Row],[Shipment_Type]]="Hava","Air",IF(logistics_classification_dataset__1[[#This Row],[Shipment_Type]]="Deniz","Sea")))</f>
        <v>Road</v>
      </c>
      <c r="F198">
        <v>1056.83</v>
      </c>
      <c r="G198" t="str">
        <f t="shared" si="6"/>
        <v>1001–1500</v>
      </c>
      <c r="H198" s="1">
        <v>545.20000000000005</v>
      </c>
      <c r="I198" t="str">
        <f t="shared" si="7"/>
        <v>501–1000</v>
      </c>
      <c r="J198" t="s">
        <v>11</v>
      </c>
      <c r="K198" t="str">
        <f>IF(logistics_classification_dataset__1[[#This Row],[Customer_Segment]]="Bireysel","Individual",IF(logistics_classification_dataset__1[[#This Row],[Customer_Segment]]="Kurumsal","Corporate"))</f>
        <v>Individual</v>
      </c>
      <c r="L198">
        <v>1</v>
      </c>
    </row>
    <row r="199" spans="1:12" x14ac:dyDescent="0.35">
      <c r="A199">
        <v>198</v>
      </c>
      <c r="B199" t="s">
        <v>12</v>
      </c>
      <c r="C199" t="s">
        <v>22</v>
      </c>
      <c r="D199" t="s">
        <v>10</v>
      </c>
      <c r="E199" t="str">
        <f>IF(logistics_classification_dataset__1[[#This Row],[Shipment_Type]]="Kara","Road",IF(logistics_classification_dataset__1[[#This Row],[Shipment_Type]]="Hava","Air",IF(logistics_classification_dataset__1[[#This Row],[Shipment_Type]]="Deniz","Sea")))</f>
        <v>Road</v>
      </c>
      <c r="F199">
        <v>786.76</v>
      </c>
      <c r="G199" t="str">
        <f t="shared" si="6"/>
        <v>501–1000</v>
      </c>
      <c r="H199" s="1">
        <v>1571</v>
      </c>
      <c r="I199" t="str">
        <f t="shared" si="7"/>
        <v>1501–2000</v>
      </c>
      <c r="J199" t="s">
        <v>11</v>
      </c>
      <c r="K199" t="str">
        <f>IF(logistics_classification_dataset__1[[#This Row],[Customer_Segment]]="Bireysel","Individual",IF(logistics_classification_dataset__1[[#This Row],[Customer_Segment]]="Kurumsal","Corporate"))</f>
        <v>Individual</v>
      </c>
      <c r="L199">
        <v>1</v>
      </c>
    </row>
    <row r="200" spans="1:12" x14ac:dyDescent="0.35">
      <c r="A200">
        <v>199</v>
      </c>
      <c r="B200" t="s">
        <v>22</v>
      </c>
      <c r="C200" t="s">
        <v>9</v>
      </c>
      <c r="D200" t="s">
        <v>10</v>
      </c>
      <c r="E200" t="str">
        <f>IF(logistics_classification_dataset__1[[#This Row],[Shipment_Type]]="Kara","Road",IF(logistics_classification_dataset__1[[#This Row],[Shipment_Type]]="Hava","Air",IF(logistics_classification_dataset__1[[#This Row],[Shipment_Type]]="Deniz","Sea")))</f>
        <v>Road</v>
      </c>
      <c r="F200">
        <v>1319.93</v>
      </c>
      <c r="G200" t="str">
        <f t="shared" si="6"/>
        <v>1001–1500</v>
      </c>
      <c r="H200" s="1">
        <v>242.5</v>
      </c>
      <c r="I200" t="str">
        <f t="shared" si="7"/>
        <v>0–500</v>
      </c>
      <c r="J200" t="s">
        <v>11</v>
      </c>
      <c r="K200" t="str">
        <f>IF(logistics_classification_dataset__1[[#This Row],[Customer_Segment]]="Bireysel","Individual",IF(logistics_classification_dataset__1[[#This Row],[Customer_Segment]]="Kurumsal","Corporate"))</f>
        <v>Individual</v>
      </c>
      <c r="L200">
        <v>0</v>
      </c>
    </row>
    <row r="201" spans="1:12" x14ac:dyDescent="0.35">
      <c r="A201">
        <v>200</v>
      </c>
      <c r="B201" t="s">
        <v>21</v>
      </c>
      <c r="C201" t="s">
        <v>16</v>
      </c>
      <c r="D201" t="s">
        <v>10</v>
      </c>
      <c r="E201" t="str">
        <f>IF(logistics_classification_dataset__1[[#This Row],[Shipment_Type]]="Kara","Road",IF(logistics_classification_dataset__1[[#This Row],[Shipment_Type]]="Hava","Air",IF(logistics_classification_dataset__1[[#This Row],[Shipment_Type]]="Deniz","Sea")))</f>
        <v>Road</v>
      </c>
      <c r="F201">
        <v>222.24</v>
      </c>
      <c r="G201" t="str">
        <f t="shared" si="6"/>
        <v>0–500</v>
      </c>
      <c r="H201" s="1">
        <v>197.5</v>
      </c>
      <c r="I201" t="str">
        <f t="shared" si="7"/>
        <v>0–500</v>
      </c>
      <c r="J201" t="s">
        <v>14</v>
      </c>
      <c r="K201" t="str">
        <f>IF(logistics_classification_dataset__1[[#This Row],[Customer_Segment]]="Bireysel","Individual",IF(logistics_classification_dataset__1[[#This Row],[Customer_Segment]]="Kurumsal","Corporate"))</f>
        <v>Corporate</v>
      </c>
      <c r="L201">
        <v>1</v>
      </c>
    </row>
    <row r="202" spans="1:12" x14ac:dyDescent="0.35">
      <c r="A202">
        <v>201</v>
      </c>
      <c r="B202" t="s">
        <v>21</v>
      </c>
      <c r="C202" t="s">
        <v>20</v>
      </c>
      <c r="D202" t="s">
        <v>15</v>
      </c>
      <c r="E202" t="str">
        <f>IF(logistics_classification_dataset__1[[#This Row],[Shipment_Type]]="Kara","Road",IF(logistics_classification_dataset__1[[#This Row],[Shipment_Type]]="Hava","Air",IF(logistics_classification_dataset__1[[#This Row],[Shipment_Type]]="Deniz","Sea")))</f>
        <v>Air</v>
      </c>
      <c r="F202">
        <v>1274.8900000000001</v>
      </c>
      <c r="G202" t="str">
        <f t="shared" si="6"/>
        <v>1001–1500</v>
      </c>
      <c r="H202" s="1">
        <v>755</v>
      </c>
      <c r="I202" t="str">
        <f t="shared" si="7"/>
        <v>501–1000</v>
      </c>
      <c r="J202" t="s">
        <v>14</v>
      </c>
      <c r="K202" t="str">
        <f>IF(logistics_classification_dataset__1[[#This Row],[Customer_Segment]]="Bireysel","Individual",IF(logistics_classification_dataset__1[[#This Row],[Customer_Segment]]="Kurumsal","Corporate"))</f>
        <v>Corporate</v>
      </c>
      <c r="L202">
        <v>1</v>
      </c>
    </row>
    <row r="203" spans="1:12" x14ac:dyDescent="0.35">
      <c r="A203">
        <v>202</v>
      </c>
      <c r="B203" t="s">
        <v>9</v>
      </c>
      <c r="C203" t="s">
        <v>21</v>
      </c>
      <c r="D203" t="s">
        <v>10</v>
      </c>
      <c r="E203" t="str">
        <f>IF(logistics_classification_dataset__1[[#This Row],[Shipment_Type]]="Kara","Road",IF(logistics_classification_dataset__1[[#This Row],[Shipment_Type]]="Hava","Air",IF(logistics_classification_dataset__1[[#This Row],[Shipment_Type]]="Deniz","Sea")))</f>
        <v>Road</v>
      </c>
      <c r="F203">
        <v>998.98</v>
      </c>
      <c r="G203" t="str">
        <f t="shared" si="6"/>
        <v>501–1000</v>
      </c>
      <c r="H203" s="1">
        <v>229.7</v>
      </c>
      <c r="I203" t="str">
        <f t="shared" si="7"/>
        <v>0–500</v>
      </c>
      <c r="J203" t="s">
        <v>14</v>
      </c>
      <c r="K203" t="str">
        <f>IF(logistics_classification_dataset__1[[#This Row],[Customer_Segment]]="Bireysel","Individual",IF(logistics_classification_dataset__1[[#This Row],[Customer_Segment]]="Kurumsal","Corporate"))</f>
        <v>Corporate</v>
      </c>
      <c r="L203">
        <v>1</v>
      </c>
    </row>
    <row r="204" spans="1:12" x14ac:dyDescent="0.35">
      <c r="A204">
        <v>203</v>
      </c>
      <c r="B204" t="s">
        <v>20</v>
      </c>
      <c r="C204" t="s">
        <v>17</v>
      </c>
      <c r="D204" t="s">
        <v>15</v>
      </c>
      <c r="E204" t="str">
        <f>IF(logistics_classification_dataset__1[[#This Row],[Shipment_Type]]="Kara","Road",IF(logistics_classification_dataset__1[[#This Row],[Shipment_Type]]="Hava","Air",IF(logistics_classification_dataset__1[[#This Row],[Shipment_Type]]="Deniz","Sea")))</f>
        <v>Air</v>
      </c>
      <c r="F204">
        <v>816.31</v>
      </c>
      <c r="G204" t="str">
        <f t="shared" si="6"/>
        <v>501–1000</v>
      </c>
      <c r="H204" s="1">
        <v>1190.9000000000001</v>
      </c>
      <c r="I204" t="str">
        <f t="shared" si="7"/>
        <v>1001–1500</v>
      </c>
      <c r="J204" t="s">
        <v>11</v>
      </c>
      <c r="K204" t="str">
        <f>IF(logistics_classification_dataset__1[[#This Row],[Customer_Segment]]="Bireysel","Individual",IF(logistics_classification_dataset__1[[#This Row],[Customer_Segment]]="Kurumsal","Corporate"))</f>
        <v>Individual</v>
      </c>
      <c r="L204">
        <v>1</v>
      </c>
    </row>
    <row r="205" spans="1:12" x14ac:dyDescent="0.35">
      <c r="A205">
        <v>204</v>
      </c>
      <c r="B205" t="s">
        <v>21</v>
      </c>
      <c r="C205" t="s">
        <v>8</v>
      </c>
      <c r="D205" t="s">
        <v>10</v>
      </c>
      <c r="E205" t="str">
        <f>IF(logistics_classification_dataset__1[[#This Row],[Shipment_Type]]="Kara","Road",IF(logistics_classification_dataset__1[[#This Row],[Shipment_Type]]="Hava","Air",IF(logistics_classification_dataset__1[[#This Row],[Shipment_Type]]="Deniz","Sea")))</f>
        <v>Road</v>
      </c>
      <c r="F205">
        <v>1906.27</v>
      </c>
      <c r="G205" t="str">
        <f t="shared" si="6"/>
        <v>1501–2000</v>
      </c>
      <c r="H205" s="1">
        <v>491.2</v>
      </c>
      <c r="I205" t="str">
        <f t="shared" si="7"/>
        <v>0–500</v>
      </c>
      <c r="J205" t="s">
        <v>14</v>
      </c>
      <c r="K205" t="str">
        <f>IF(logistics_classification_dataset__1[[#This Row],[Customer_Segment]]="Bireysel","Individual",IF(logistics_classification_dataset__1[[#This Row],[Customer_Segment]]="Kurumsal","Corporate"))</f>
        <v>Corporate</v>
      </c>
      <c r="L205">
        <v>1</v>
      </c>
    </row>
    <row r="206" spans="1:12" x14ac:dyDescent="0.35">
      <c r="A206">
        <v>205</v>
      </c>
      <c r="B206" t="s">
        <v>18</v>
      </c>
      <c r="C206" t="s">
        <v>16</v>
      </c>
      <c r="D206" t="s">
        <v>19</v>
      </c>
      <c r="E206" t="str">
        <f>IF(logistics_classification_dataset__1[[#This Row],[Shipment_Type]]="Kara","Road",IF(logistics_classification_dataset__1[[#This Row],[Shipment_Type]]="Hava","Air",IF(logistics_classification_dataset__1[[#This Row],[Shipment_Type]]="Deniz","Sea")))</f>
        <v>Sea</v>
      </c>
      <c r="F206">
        <v>1047.47</v>
      </c>
      <c r="G206" t="str">
        <f t="shared" si="6"/>
        <v>1001–1500</v>
      </c>
      <c r="H206" s="1">
        <v>1796.6</v>
      </c>
      <c r="I206" t="str">
        <f t="shared" si="7"/>
        <v>1501–2000</v>
      </c>
      <c r="J206" t="s">
        <v>11</v>
      </c>
      <c r="K206" t="str">
        <f>IF(logistics_classification_dataset__1[[#This Row],[Customer_Segment]]="Bireysel","Individual",IF(logistics_classification_dataset__1[[#This Row],[Customer_Segment]]="Kurumsal","Corporate"))</f>
        <v>Individual</v>
      </c>
      <c r="L206">
        <v>1</v>
      </c>
    </row>
    <row r="207" spans="1:12" x14ac:dyDescent="0.35">
      <c r="A207">
        <v>206</v>
      </c>
      <c r="B207" t="s">
        <v>12</v>
      </c>
      <c r="C207" t="s">
        <v>17</v>
      </c>
      <c r="D207" t="s">
        <v>10</v>
      </c>
      <c r="E207" t="str">
        <f>IF(logistics_classification_dataset__1[[#This Row],[Shipment_Type]]="Kara","Road",IF(logistics_classification_dataset__1[[#This Row],[Shipment_Type]]="Hava","Air",IF(logistics_classification_dataset__1[[#This Row],[Shipment_Type]]="Deniz","Sea")))</f>
        <v>Road</v>
      </c>
      <c r="F207">
        <v>442.14</v>
      </c>
      <c r="G207" t="str">
        <f t="shared" si="6"/>
        <v>0–500</v>
      </c>
      <c r="H207" s="1">
        <v>1577.8</v>
      </c>
      <c r="I207" t="str">
        <f t="shared" si="7"/>
        <v>1501–2000</v>
      </c>
      <c r="J207" t="s">
        <v>14</v>
      </c>
      <c r="K207" t="str">
        <f>IF(logistics_classification_dataset__1[[#This Row],[Customer_Segment]]="Bireysel","Individual",IF(logistics_classification_dataset__1[[#This Row],[Customer_Segment]]="Kurumsal","Corporate"))</f>
        <v>Corporate</v>
      </c>
      <c r="L207">
        <v>1</v>
      </c>
    </row>
    <row r="208" spans="1:12" x14ac:dyDescent="0.35">
      <c r="A208">
        <v>207</v>
      </c>
      <c r="B208" t="s">
        <v>12</v>
      </c>
      <c r="C208" t="s">
        <v>21</v>
      </c>
      <c r="D208" t="s">
        <v>10</v>
      </c>
      <c r="E208" t="str">
        <f>IF(logistics_classification_dataset__1[[#This Row],[Shipment_Type]]="Kara","Road",IF(logistics_classification_dataset__1[[#This Row],[Shipment_Type]]="Hava","Air",IF(logistics_classification_dataset__1[[#This Row],[Shipment_Type]]="Deniz","Sea")))</f>
        <v>Road</v>
      </c>
      <c r="F208">
        <v>920.63</v>
      </c>
      <c r="G208" t="str">
        <f t="shared" si="6"/>
        <v>501–1000</v>
      </c>
      <c r="H208" s="1">
        <v>1414.4</v>
      </c>
      <c r="I208" t="str">
        <f t="shared" si="7"/>
        <v>1001–1500</v>
      </c>
      <c r="J208" t="s">
        <v>14</v>
      </c>
      <c r="K208" t="str">
        <f>IF(logistics_classification_dataset__1[[#This Row],[Customer_Segment]]="Bireysel","Individual",IF(logistics_classification_dataset__1[[#This Row],[Customer_Segment]]="Kurumsal","Corporate"))</f>
        <v>Corporate</v>
      </c>
      <c r="L208">
        <v>1</v>
      </c>
    </row>
    <row r="209" spans="1:12" x14ac:dyDescent="0.35">
      <c r="A209">
        <v>208</v>
      </c>
      <c r="B209" t="s">
        <v>18</v>
      </c>
      <c r="C209" t="s">
        <v>16</v>
      </c>
      <c r="D209" t="s">
        <v>10</v>
      </c>
      <c r="E209" t="str">
        <f>IF(logistics_classification_dataset__1[[#This Row],[Shipment_Type]]="Kara","Road",IF(logistics_classification_dataset__1[[#This Row],[Shipment_Type]]="Hava","Air",IF(logistics_classification_dataset__1[[#This Row],[Shipment_Type]]="Deniz","Sea")))</f>
        <v>Road</v>
      </c>
      <c r="F209">
        <v>1839.18</v>
      </c>
      <c r="G209" t="str">
        <f t="shared" si="6"/>
        <v>1501–2000</v>
      </c>
      <c r="H209" s="1">
        <v>1253</v>
      </c>
      <c r="I209" t="str">
        <f t="shared" si="7"/>
        <v>1001–1500</v>
      </c>
      <c r="J209" t="s">
        <v>11</v>
      </c>
      <c r="K209" t="str">
        <f>IF(logistics_classification_dataset__1[[#This Row],[Customer_Segment]]="Bireysel","Individual",IF(logistics_classification_dataset__1[[#This Row],[Customer_Segment]]="Kurumsal","Corporate"))</f>
        <v>Individual</v>
      </c>
      <c r="L209">
        <v>1</v>
      </c>
    </row>
    <row r="210" spans="1:12" x14ac:dyDescent="0.35">
      <c r="A210">
        <v>209</v>
      </c>
      <c r="B210" t="s">
        <v>17</v>
      </c>
      <c r="C210" t="s">
        <v>20</v>
      </c>
      <c r="D210" t="s">
        <v>15</v>
      </c>
      <c r="E210" t="str">
        <f>IF(logistics_classification_dataset__1[[#This Row],[Shipment_Type]]="Kara","Road",IF(logistics_classification_dataset__1[[#This Row],[Shipment_Type]]="Hava","Air",IF(logistics_classification_dataset__1[[#This Row],[Shipment_Type]]="Deniz","Sea")))</f>
        <v>Air</v>
      </c>
      <c r="F210">
        <v>356.31</v>
      </c>
      <c r="G210" t="str">
        <f t="shared" si="6"/>
        <v>0–500</v>
      </c>
      <c r="H210" s="1">
        <v>1733.8</v>
      </c>
      <c r="I210" t="str">
        <f t="shared" si="7"/>
        <v>1501–2000</v>
      </c>
      <c r="J210" t="s">
        <v>11</v>
      </c>
      <c r="K210" t="str">
        <f>IF(logistics_classification_dataset__1[[#This Row],[Customer_Segment]]="Bireysel","Individual",IF(logistics_classification_dataset__1[[#This Row],[Customer_Segment]]="Kurumsal","Corporate"))</f>
        <v>Individual</v>
      </c>
      <c r="L210">
        <v>1</v>
      </c>
    </row>
    <row r="211" spans="1:12" x14ac:dyDescent="0.35">
      <c r="A211">
        <v>210</v>
      </c>
      <c r="B211" t="s">
        <v>18</v>
      </c>
      <c r="C211" t="s">
        <v>21</v>
      </c>
      <c r="D211" t="s">
        <v>15</v>
      </c>
      <c r="E211" t="str">
        <f>IF(logistics_classification_dataset__1[[#This Row],[Shipment_Type]]="Kara","Road",IF(logistics_classification_dataset__1[[#This Row],[Shipment_Type]]="Hava","Air",IF(logistics_classification_dataset__1[[#This Row],[Shipment_Type]]="Deniz","Sea")))</f>
        <v>Air</v>
      </c>
      <c r="F211">
        <v>431.84</v>
      </c>
      <c r="G211" t="str">
        <f t="shared" si="6"/>
        <v>0–500</v>
      </c>
      <c r="H211" s="1">
        <v>485</v>
      </c>
      <c r="I211" t="str">
        <f t="shared" si="7"/>
        <v>0–500</v>
      </c>
      <c r="J211" t="s">
        <v>14</v>
      </c>
      <c r="K211" t="str">
        <f>IF(logistics_classification_dataset__1[[#This Row],[Customer_Segment]]="Bireysel","Individual",IF(logistics_classification_dataset__1[[#This Row],[Customer_Segment]]="Kurumsal","Corporate"))</f>
        <v>Corporate</v>
      </c>
      <c r="L211">
        <v>0</v>
      </c>
    </row>
    <row r="212" spans="1:12" x14ac:dyDescent="0.35">
      <c r="A212">
        <v>211</v>
      </c>
      <c r="B212" t="s">
        <v>18</v>
      </c>
      <c r="C212" t="s">
        <v>13</v>
      </c>
      <c r="D212" t="s">
        <v>15</v>
      </c>
      <c r="E212" t="str">
        <f>IF(logistics_classification_dataset__1[[#This Row],[Shipment_Type]]="Kara","Road",IF(logistics_classification_dataset__1[[#This Row],[Shipment_Type]]="Hava","Air",IF(logistics_classification_dataset__1[[#This Row],[Shipment_Type]]="Deniz","Sea")))</f>
        <v>Air</v>
      </c>
      <c r="F212">
        <v>30.99</v>
      </c>
      <c r="G212" t="str">
        <f t="shared" si="6"/>
        <v>0–500</v>
      </c>
      <c r="H212" s="1">
        <v>1752.6</v>
      </c>
      <c r="I212" t="str">
        <f t="shared" si="7"/>
        <v>1501–2000</v>
      </c>
      <c r="J212" t="s">
        <v>14</v>
      </c>
      <c r="K212" t="str">
        <f>IF(logistics_classification_dataset__1[[#This Row],[Customer_Segment]]="Bireysel","Individual",IF(logistics_classification_dataset__1[[#This Row],[Customer_Segment]]="Kurumsal","Corporate"))</f>
        <v>Corporate</v>
      </c>
      <c r="L212">
        <v>1</v>
      </c>
    </row>
    <row r="213" spans="1:12" x14ac:dyDescent="0.35">
      <c r="A213">
        <v>212</v>
      </c>
      <c r="B213" t="s">
        <v>12</v>
      </c>
      <c r="C213" t="s">
        <v>22</v>
      </c>
      <c r="D213" t="s">
        <v>10</v>
      </c>
      <c r="E213" t="str">
        <f>IF(logistics_classification_dataset__1[[#This Row],[Shipment_Type]]="Kara","Road",IF(logistics_classification_dataset__1[[#This Row],[Shipment_Type]]="Hava","Air",IF(logistics_classification_dataset__1[[#This Row],[Shipment_Type]]="Deniz","Sea")))</f>
        <v>Road</v>
      </c>
      <c r="F213">
        <v>33.31</v>
      </c>
      <c r="G213" t="str">
        <f t="shared" si="6"/>
        <v>0–500</v>
      </c>
      <c r="H213" s="1">
        <v>1589.5</v>
      </c>
      <c r="I213" t="str">
        <f t="shared" si="7"/>
        <v>1501–2000</v>
      </c>
      <c r="J213" t="s">
        <v>14</v>
      </c>
      <c r="K213" t="str">
        <f>IF(logistics_classification_dataset__1[[#This Row],[Customer_Segment]]="Bireysel","Individual",IF(logistics_classification_dataset__1[[#This Row],[Customer_Segment]]="Kurumsal","Corporate"))</f>
        <v>Corporate</v>
      </c>
      <c r="L213">
        <v>1</v>
      </c>
    </row>
    <row r="214" spans="1:12" x14ac:dyDescent="0.35">
      <c r="A214">
        <v>213</v>
      </c>
      <c r="B214" t="s">
        <v>8</v>
      </c>
      <c r="C214" t="s">
        <v>20</v>
      </c>
      <c r="D214" t="s">
        <v>10</v>
      </c>
      <c r="E214" t="str">
        <f>IF(logistics_classification_dataset__1[[#This Row],[Shipment_Type]]="Kara","Road",IF(logistics_classification_dataset__1[[#This Row],[Shipment_Type]]="Hava","Air",IF(logistics_classification_dataset__1[[#This Row],[Shipment_Type]]="Deniz","Sea")))</f>
        <v>Road</v>
      </c>
      <c r="F214">
        <v>1659.64</v>
      </c>
      <c r="G214" t="str">
        <f t="shared" si="6"/>
        <v>1501–2000</v>
      </c>
      <c r="H214" s="1">
        <v>1508.9</v>
      </c>
      <c r="I214" t="str">
        <f t="shared" si="7"/>
        <v>1501–2000</v>
      </c>
      <c r="J214" t="s">
        <v>11</v>
      </c>
      <c r="K214" t="str">
        <f>IF(logistics_classification_dataset__1[[#This Row],[Customer_Segment]]="Bireysel","Individual",IF(logistics_classification_dataset__1[[#This Row],[Customer_Segment]]="Kurumsal","Corporate"))</f>
        <v>Individual</v>
      </c>
      <c r="L214">
        <v>1</v>
      </c>
    </row>
    <row r="215" spans="1:12" x14ac:dyDescent="0.35">
      <c r="A215">
        <v>214</v>
      </c>
      <c r="B215" t="s">
        <v>12</v>
      </c>
      <c r="C215" t="s">
        <v>16</v>
      </c>
      <c r="D215" t="s">
        <v>10</v>
      </c>
      <c r="E215" t="str">
        <f>IF(logistics_classification_dataset__1[[#This Row],[Shipment_Type]]="Kara","Road",IF(logistics_classification_dataset__1[[#This Row],[Shipment_Type]]="Hava","Air",IF(logistics_classification_dataset__1[[#This Row],[Shipment_Type]]="Deniz","Sea")))</f>
        <v>Road</v>
      </c>
      <c r="F215">
        <v>1465.58</v>
      </c>
      <c r="G215" t="str">
        <f t="shared" si="6"/>
        <v>1001–1500</v>
      </c>
      <c r="H215" s="1">
        <v>1144.4000000000001</v>
      </c>
      <c r="I215" t="str">
        <f t="shared" si="7"/>
        <v>1001–1500</v>
      </c>
      <c r="J215" t="s">
        <v>11</v>
      </c>
      <c r="K215" t="str">
        <f>IF(logistics_classification_dataset__1[[#This Row],[Customer_Segment]]="Bireysel","Individual",IF(logistics_classification_dataset__1[[#This Row],[Customer_Segment]]="Kurumsal","Corporate"))</f>
        <v>Individual</v>
      </c>
      <c r="L215">
        <v>1</v>
      </c>
    </row>
    <row r="216" spans="1:12" x14ac:dyDescent="0.35">
      <c r="A216">
        <v>215</v>
      </c>
      <c r="B216" t="s">
        <v>20</v>
      </c>
      <c r="C216" t="s">
        <v>8</v>
      </c>
      <c r="D216" t="s">
        <v>10</v>
      </c>
      <c r="E216" t="str">
        <f>IF(logistics_classification_dataset__1[[#This Row],[Shipment_Type]]="Kara","Road",IF(logistics_classification_dataset__1[[#This Row],[Shipment_Type]]="Hava","Air",IF(logistics_classification_dataset__1[[#This Row],[Shipment_Type]]="Deniz","Sea")))</f>
        <v>Road</v>
      </c>
      <c r="F216">
        <v>713.31</v>
      </c>
      <c r="G216" t="str">
        <f t="shared" si="6"/>
        <v>501–1000</v>
      </c>
      <c r="H216" s="1">
        <v>530.20000000000005</v>
      </c>
      <c r="I216" t="str">
        <f t="shared" si="7"/>
        <v>501–1000</v>
      </c>
      <c r="J216" t="s">
        <v>11</v>
      </c>
      <c r="K216" t="str">
        <f>IF(logistics_classification_dataset__1[[#This Row],[Customer_Segment]]="Bireysel","Individual",IF(logistics_classification_dataset__1[[#This Row],[Customer_Segment]]="Kurumsal","Corporate"))</f>
        <v>Individual</v>
      </c>
      <c r="L216">
        <v>1</v>
      </c>
    </row>
    <row r="217" spans="1:12" x14ac:dyDescent="0.35">
      <c r="A217">
        <v>216</v>
      </c>
      <c r="B217" t="s">
        <v>9</v>
      </c>
      <c r="C217" t="s">
        <v>17</v>
      </c>
      <c r="D217" t="s">
        <v>10</v>
      </c>
      <c r="E217" t="str">
        <f>IF(logistics_classification_dataset__1[[#This Row],[Shipment_Type]]="Kara","Road",IF(logistics_classification_dataset__1[[#This Row],[Shipment_Type]]="Hava","Air",IF(logistics_classification_dataset__1[[#This Row],[Shipment_Type]]="Deniz","Sea")))</f>
        <v>Road</v>
      </c>
      <c r="F217">
        <v>1398.13</v>
      </c>
      <c r="G217" t="str">
        <f t="shared" si="6"/>
        <v>1001–1500</v>
      </c>
      <c r="H217" s="1">
        <v>875.9</v>
      </c>
      <c r="I217" t="str">
        <f t="shared" si="7"/>
        <v>501–1000</v>
      </c>
      <c r="J217" t="s">
        <v>14</v>
      </c>
      <c r="K217" t="str">
        <f>IF(logistics_classification_dataset__1[[#This Row],[Customer_Segment]]="Bireysel","Individual",IF(logistics_classification_dataset__1[[#This Row],[Customer_Segment]]="Kurumsal","Corporate"))</f>
        <v>Corporate</v>
      </c>
      <c r="L217">
        <v>1</v>
      </c>
    </row>
    <row r="218" spans="1:12" x14ac:dyDescent="0.35">
      <c r="A218">
        <v>217</v>
      </c>
      <c r="B218" t="s">
        <v>13</v>
      </c>
      <c r="C218" t="s">
        <v>9</v>
      </c>
      <c r="D218" t="s">
        <v>19</v>
      </c>
      <c r="E218" t="str">
        <f>IF(logistics_classification_dataset__1[[#This Row],[Shipment_Type]]="Kara","Road",IF(logistics_classification_dataset__1[[#This Row],[Shipment_Type]]="Hava","Air",IF(logistics_classification_dataset__1[[#This Row],[Shipment_Type]]="Deniz","Sea")))</f>
        <v>Sea</v>
      </c>
      <c r="F218">
        <v>793.44</v>
      </c>
      <c r="G218" t="str">
        <f t="shared" si="6"/>
        <v>501–1000</v>
      </c>
      <c r="H218" s="1">
        <v>1597.5</v>
      </c>
      <c r="I218" t="str">
        <f t="shared" si="7"/>
        <v>1501–2000</v>
      </c>
      <c r="J218" t="s">
        <v>11</v>
      </c>
      <c r="K218" t="str">
        <f>IF(logistics_classification_dataset__1[[#This Row],[Customer_Segment]]="Bireysel","Individual",IF(logistics_classification_dataset__1[[#This Row],[Customer_Segment]]="Kurumsal","Corporate"))</f>
        <v>Individual</v>
      </c>
      <c r="L218">
        <v>1</v>
      </c>
    </row>
    <row r="219" spans="1:12" x14ac:dyDescent="0.35">
      <c r="A219">
        <v>218</v>
      </c>
      <c r="B219" t="s">
        <v>8</v>
      </c>
      <c r="C219" t="s">
        <v>17</v>
      </c>
      <c r="D219" t="s">
        <v>19</v>
      </c>
      <c r="E219" t="str">
        <f>IF(logistics_classification_dataset__1[[#This Row],[Shipment_Type]]="Kara","Road",IF(logistics_classification_dataset__1[[#This Row],[Shipment_Type]]="Hava","Air",IF(logistics_classification_dataset__1[[#This Row],[Shipment_Type]]="Deniz","Sea")))</f>
        <v>Sea</v>
      </c>
      <c r="F219">
        <v>1906.03</v>
      </c>
      <c r="G219" t="str">
        <f t="shared" si="6"/>
        <v>1501–2000</v>
      </c>
      <c r="H219" s="1">
        <v>112</v>
      </c>
      <c r="I219" t="str">
        <f t="shared" si="7"/>
        <v>0–500</v>
      </c>
      <c r="J219" t="s">
        <v>14</v>
      </c>
      <c r="K219" t="str">
        <f>IF(logistics_classification_dataset__1[[#This Row],[Customer_Segment]]="Bireysel","Individual",IF(logistics_classification_dataset__1[[#This Row],[Customer_Segment]]="Kurumsal","Corporate"))</f>
        <v>Corporate</v>
      </c>
      <c r="L219">
        <v>1</v>
      </c>
    </row>
    <row r="220" spans="1:12" x14ac:dyDescent="0.35">
      <c r="A220">
        <v>219</v>
      </c>
      <c r="B220" t="s">
        <v>22</v>
      </c>
      <c r="C220" t="s">
        <v>16</v>
      </c>
      <c r="D220" t="s">
        <v>19</v>
      </c>
      <c r="E220" t="str">
        <f>IF(logistics_classification_dataset__1[[#This Row],[Shipment_Type]]="Kara","Road",IF(logistics_classification_dataset__1[[#This Row],[Shipment_Type]]="Hava","Air",IF(logistics_classification_dataset__1[[#This Row],[Shipment_Type]]="Deniz","Sea")))</f>
        <v>Sea</v>
      </c>
      <c r="F220">
        <v>1934.27</v>
      </c>
      <c r="G220" t="str">
        <f t="shared" si="6"/>
        <v>1501–2000</v>
      </c>
      <c r="H220" s="1">
        <v>1575</v>
      </c>
      <c r="I220" t="str">
        <f t="shared" si="7"/>
        <v>1501–2000</v>
      </c>
      <c r="J220" t="s">
        <v>11</v>
      </c>
      <c r="K220" t="str">
        <f>IF(logistics_classification_dataset__1[[#This Row],[Customer_Segment]]="Bireysel","Individual",IF(logistics_classification_dataset__1[[#This Row],[Customer_Segment]]="Kurumsal","Corporate"))</f>
        <v>Individual</v>
      </c>
      <c r="L220">
        <v>1</v>
      </c>
    </row>
    <row r="221" spans="1:12" x14ac:dyDescent="0.35">
      <c r="A221">
        <v>220</v>
      </c>
      <c r="B221" t="s">
        <v>13</v>
      </c>
      <c r="C221" t="s">
        <v>17</v>
      </c>
      <c r="D221" t="s">
        <v>15</v>
      </c>
      <c r="E221" t="str">
        <f>IF(logistics_classification_dataset__1[[#This Row],[Shipment_Type]]="Kara","Road",IF(logistics_classification_dataset__1[[#This Row],[Shipment_Type]]="Hava","Air",IF(logistics_classification_dataset__1[[#This Row],[Shipment_Type]]="Deniz","Sea")))</f>
        <v>Air</v>
      </c>
      <c r="F221">
        <v>788.62</v>
      </c>
      <c r="G221" t="str">
        <f t="shared" si="6"/>
        <v>501–1000</v>
      </c>
      <c r="H221" s="1">
        <v>518.1</v>
      </c>
      <c r="I221" t="str">
        <f t="shared" si="7"/>
        <v>501–1000</v>
      </c>
      <c r="J221" t="s">
        <v>11</v>
      </c>
      <c r="K221" t="str">
        <f>IF(logistics_classification_dataset__1[[#This Row],[Customer_Segment]]="Bireysel","Individual",IF(logistics_classification_dataset__1[[#This Row],[Customer_Segment]]="Kurumsal","Corporate"))</f>
        <v>Individual</v>
      </c>
      <c r="L221">
        <v>1</v>
      </c>
    </row>
    <row r="222" spans="1:12" x14ac:dyDescent="0.35">
      <c r="A222">
        <v>221</v>
      </c>
      <c r="B222" t="s">
        <v>9</v>
      </c>
      <c r="C222" t="s">
        <v>22</v>
      </c>
      <c r="D222" t="s">
        <v>10</v>
      </c>
      <c r="E222" t="str">
        <f>IF(logistics_classification_dataset__1[[#This Row],[Shipment_Type]]="Kara","Road",IF(logistics_classification_dataset__1[[#This Row],[Shipment_Type]]="Hava","Air",IF(logistics_classification_dataset__1[[#This Row],[Shipment_Type]]="Deniz","Sea")))</f>
        <v>Road</v>
      </c>
      <c r="F222">
        <v>1709.17</v>
      </c>
      <c r="G222" t="str">
        <f t="shared" si="6"/>
        <v>1501–2000</v>
      </c>
      <c r="H222" s="1">
        <v>331.4</v>
      </c>
      <c r="I222" t="str">
        <f t="shared" si="7"/>
        <v>0–500</v>
      </c>
      <c r="J222" t="s">
        <v>11</v>
      </c>
      <c r="K222" t="str">
        <f>IF(logistics_classification_dataset__1[[#This Row],[Customer_Segment]]="Bireysel","Individual",IF(logistics_classification_dataset__1[[#This Row],[Customer_Segment]]="Kurumsal","Corporate"))</f>
        <v>Individual</v>
      </c>
      <c r="L222">
        <v>1</v>
      </c>
    </row>
    <row r="223" spans="1:12" x14ac:dyDescent="0.35">
      <c r="A223">
        <v>222</v>
      </c>
      <c r="B223" t="s">
        <v>20</v>
      </c>
      <c r="C223" t="s">
        <v>21</v>
      </c>
      <c r="D223" t="s">
        <v>10</v>
      </c>
      <c r="E223" t="str">
        <f>IF(logistics_classification_dataset__1[[#This Row],[Shipment_Type]]="Kara","Road",IF(logistics_classification_dataset__1[[#This Row],[Shipment_Type]]="Hava","Air",IF(logistics_classification_dataset__1[[#This Row],[Shipment_Type]]="Deniz","Sea")))</f>
        <v>Road</v>
      </c>
      <c r="F223">
        <v>1547.31</v>
      </c>
      <c r="G223" t="str">
        <f t="shared" si="6"/>
        <v>1501–2000</v>
      </c>
      <c r="H223" s="1">
        <v>275.60000000000002</v>
      </c>
      <c r="I223" t="str">
        <f t="shared" si="7"/>
        <v>0–500</v>
      </c>
      <c r="J223" t="s">
        <v>14</v>
      </c>
      <c r="K223" t="str">
        <f>IF(logistics_classification_dataset__1[[#This Row],[Customer_Segment]]="Bireysel","Individual",IF(logistics_classification_dataset__1[[#This Row],[Customer_Segment]]="Kurumsal","Corporate"))</f>
        <v>Corporate</v>
      </c>
      <c r="L223">
        <v>1</v>
      </c>
    </row>
    <row r="224" spans="1:12" x14ac:dyDescent="0.35">
      <c r="A224">
        <v>223</v>
      </c>
      <c r="B224" t="s">
        <v>20</v>
      </c>
      <c r="C224" t="s">
        <v>9</v>
      </c>
      <c r="D224" t="s">
        <v>10</v>
      </c>
      <c r="E224" t="str">
        <f>IF(logistics_classification_dataset__1[[#This Row],[Shipment_Type]]="Kara","Road",IF(logistics_classification_dataset__1[[#This Row],[Shipment_Type]]="Hava","Air",IF(logistics_classification_dataset__1[[#This Row],[Shipment_Type]]="Deniz","Sea")))</f>
        <v>Road</v>
      </c>
      <c r="F224">
        <v>623.45000000000005</v>
      </c>
      <c r="G224" t="str">
        <f t="shared" si="6"/>
        <v>501–1000</v>
      </c>
      <c r="H224" s="1">
        <v>103.1</v>
      </c>
      <c r="I224" t="str">
        <f t="shared" si="7"/>
        <v>0–500</v>
      </c>
      <c r="J224" t="s">
        <v>11</v>
      </c>
      <c r="K224" t="str">
        <f>IF(logistics_classification_dataset__1[[#This Row],[Customer_Segment]]="Bireysel","Individual",IF(logistics_classification_dataset__1[[#This Row],[Customer_Segment]]="Kurumsal","Corporate"))</f>
        <v>Individual</v>
      </c>
      <c r="L224">
        <v>1</v>
      </c>
    </row>
    <row r="225" spans="1:12" x14ac:dyDescent="0.35">
      <c r="A225">
        <v>224</v>
      </c>
      <c r="B225" t="s">
        <v>22</v>
      </c>
      <c r="C225" t="s">
        <v>18</v>
      </c>
      <c r="D225" t="s">
        <v>15</v>
      </c>
      <c r="E225" t="str">
        <f>IF(logistics_classification_dataset__1[[#This Row],[Shipment_Type]]="Kara","Road",IF(logistics_classification_dataset__1[[#This Row],[Shipment_Type]]="Hava","Air",IF(logistics_classification_dataset__1[[#This Row],[Shipment_Type]]="Deniz","Sea")))</f>
        <v>Air</v>
      </c>
      <c r="F225">
        <v>467.92</v>
      </c>
      <c r="G225" t="str">
        <f t="shared" si="6"/>
        <v>0–500</v>
      </c>
      <c r="H225" s="1">
        <v>1071</v>
      </c>
      <c r="I225" t="str">
        <f t="shared" si="7"/>
        <v>1001–1500</v>
      </c>
      <c r="J225" t="s">
        <v>11</v>
      </c>
      <c r="K225" t="str">
        <f>IF(logistics_classification_dataset__1[[#This Row],[Customer_Segment]]="Bireysel","Individual",IF(logistics_classification_dataset__1[[#This Row],[Customer_Segment]]="Kurumsal","Corporate"))</f>
        <v>Individual</v>
      </c>
      <c r="L225">
        <v>0</v>
      </c>
    </row>
    <row r="226" spans="1:12" x14ac:dyDescent="0.35">
      <c r="A226">
        <v>225</v>
      </c>
      <c r="B226" t="s">
        <v>8</v>
      </c>
      <c r="C226" t="s">
        <v>16</v>
      </c>
      <c r="D226" t="s">
        <v>10</v>
      </c>
      <c r="E226" t="str">
        <f>IF(logistics_classification_dataset__1[[#This Row],[Shipment_Type]]="Kara","Road",IF(logistics_classification_dataset__1[[#This Row],[Shipment_Type]]="Hava","Air",IF(logistics_classification_dataset__1[[#This Row],[Shipment_Type]]="Deniz","Sea")))</f>
        <v>Road</v>
      </c>
      <c r="F226">
        <v>919.18</v>
      </c>
      <c r="G226" t="str">
        <f t="shared" si="6"/>
        <v>501–1000</v>
      </c>
      <c r="H226" s="1">
        <v>475.6</v>
      </c>
      <c r="I226" t="str">
        <f t="shared" si="7"/>
        <v>0–500</v>
      </c>
      <c r="J226" t="s">
        <v>11</v>
      </c>
      <c r="K226" t="str">
        <f>IF(logistics_classification_dataset__1[[#This Row],[Customer_Segment]]="Bireysel","Individual",IF(logistics_classification_dataset__1[[#This Row],[Customer_Segment]]="Kurumsal","Corporate"))</f>
        <v>Individual</v>
      </c>
      <c r="L226">
        <v>1</v>
      </c>
    </row>
    <row r="227" spans="1:12" x14ac:dyDescent="0.35">
      <c r="A227">
        <v>226</v>
      </c>
      <c r="B227" t="s">
        <v>17</v>
      </c>
      <c r="C227" t="s">
        <v>12</v>
      </c>
      <c r="D227" t="s">
        <v>10</v>
      </c>
      <c r="E227" t="str">
        <f>IF(logistics_classification_dataset__1[[#This Row],[Shipment_Type]]="Kara","Road",IF(logistics_classification_dataset__1[[#This Row],[Shipment_Type]]="Hava","Air",IF(logistics_classification_dataset__1[[#This Row],[Shipment_Type]]="Deniz","Sea")))</f>
        <v>Road</v>
      </c>
      <c r="F227">
        <v>1563.79</v>
      </c>
      <c r="G227" t="str">
        <f t="shared" si="6"/>
        <v>1501–2000</v>
      </c>
      <c r="H227" s="1">
        <v>1979.4</v>
      </c>
      <c r="I227" t="str">
        <f t="shared" si="7"/>
        <v>1501–2000</v>
      </c>
      <c r="J227" t="s">
        <v>11</v>
      </c>
      <c r="K227" t="str">
        <f>IF(logistics_classification_dataset__1[[#This Row],[Customer_Segment]]="Bireysel","Individual",IF(logistics_classification_dataset__1[[#This Row],[Customer_Segment]]="Kurumsal","Corporate"))</f>
        <v>Individual</v>
      </c>
      <c r="L227">
        <v>1</v>
      </c>
    </row>
    <row r="228" spans="1:12" x14ac:dyDescent="0.35">
      <c r="A228">
        <v>227</v>
      </c>
      <c r="B228" t="s">
        <v>18</v>
      </c>
      <c r="C228" t="s">
        <v>8</v>
      </c>
      <c r="D228" t="s">
        <v>10</v>
      </c>
      <c r="E228" t="str">
        <f>IF(logistics_classification_dataset__1[[#This Row],[Shipment_Type]]="Kara","Road",IF(logistics_classification_dataset__1[[#This Row],[Shipment_Type]]="Hava","Air",IF(logistics_classification_dataset__1[[#This Row],[Shipment_Type]]="Deniz","Sea")))</f>
        <v>Road</v>
      </c>
      <c r="F228">
        <v>1920.53</v>
      </c>
      <c r="G228" t="str">
        <f t="shared" si="6"/>
        <v>1501–2000</v>
      </c>
      <c r="H228" s="1">
        <v>1170.2</v>
      </c>
      <c r="I228" t="str">
        <f t="shared" si="7"/>
        <v>1001–1500</v>
      </c>
      <c r="J228" t="s">
        <v>11</v>
      </c>
      <c r="K228" t="str">
        <f>IF(logistics_classification_dataset__1[[#This Row],[Customer_Segment]]="Bireysel","Individual",IF(logistics_classification_dataset__1[[#This Row],[Customer_Segment]]="Kurumsal","Corporate"))</f>
        <v>Individual</v>
      </c>
      <c r="L228">
        <v>1</v>
      </c>
    </row>
    <row r="229" spans="1:12" x14ac:dyDescent="0.35">
      <c r="A229">
        <v>228</v>
      </c>
      <c r="B229" t="s">
        <v>8</v>
      </c>
      <c r="C229" t="s">
        <v>17</v>
      </c>
      <c r="D229" t="s">
        <v>10</v>
      </c>
      <c r="E229" t="str">
        <f>IF(logistics_classification_dataset__1[[#This Row],[Shipment_Type]]="Kara","Road",IF(logistics_classification_dataset__1[[#This Row],[Shipment_Type]]="Hava","Air",IF(logistics_classification_dataset__1[[#This Row],[Shipment_Type]]="Deniz","Sea")))</f>
        <v>Road</v>
      </c>
      <c r="F229">
        <v>1528.34</v>
      </c>
      <c r="G229" t="str">
        <f t="shared" si="6"/>
        <v>1501–2000</v>
      </c>
      <c r="H229" s="1">
        <v>318.89999999999998</v>
      </c>
      <c r="I229" t="str">
        <f t="shared" si="7"/>
        <v>0–500</v>
      </c>
      <c r="J229" t="s">
        <v>14</v>
      </c>
      <c r="K229" t="str">
        <f>IF(logistics_classification_dataset__1[[#This Row],[Customer_Segment]]="Bireysel","Individual",IF(logistics_classification_dataset__1[[#This Row],[Customer_Segment]]="Kurumsal","Corporate"))</f>
        <v>Corporate</v>
      </c>
      <c r="L229">
        <v>1</v>
      </c>
    </row>
    <row r="230" spans="1:12" x14ac:dyDescent="0.35">
      <c r="A230">
        <v>229</v>
      </c>
      <c r="B230" t="s">
        <v>17</v>
      </c>
      <c r="C230" t="s">
        <v>16</v>
      </c>
      <c r="D230" t="s">
        <v>15</v>
      </c>
      <c r="E230" t="str">
        <f>IF(logistics_classification_dataset__1[[#This Row],[Shipment_Type]]="Kara","Road",IF(logistics_classification_dataset__1[[#This Row],[Shipment_Type]]="Hava","Air",IF(logistics_classification_dataset__1[[#This Row],[Shipment_Type]]="Deniz","Sea")))</f>
        <v>Air</v>
      </c>
      <c r="F230">
        <v>1711.14</v>
      </c>
      <c r="G230" t="str">
        <f t="shared" si="6"/>
        <v>1501–2000</v>
      </c>
      <c r="H230" s="1">
        <v>1393.1</v>
      </c>
      <c r="I230" t="str">
        <f t="shared" si="7"/>
        <v>1001–1500</v>
      </c>
      <c r="J230" t="s">
        <v>11</v>
      </c>
      <c r="K230" t="str">
        <f>IF(logistics_classification_dataset__1[[#This Row],[Customer_Segment]]="Bireysel","Individual",IF(logistics_classification_dataset__1[[#This Row],[Customer_Segment]]="Kurumsal","Corporate"))</f>
        <v>Individual</v>
      </c>
      <c r="L230">
        <v>1</v>
      </c>
    </row>
    <row r="231" spans="1:12" x14ac:dyDescent="0.35">
      <c r="A231">
        <v>230</v>
      </c>
      <c r="B231" t="s">
        <v>20</v>
      </c>
      <c r="C231" t="s">
        <v>13</v>
      </c>
      <c r="D231" t="s">
        <v>15</v>
      </c>
      <c r="E231" t="str">
        <f>IF(logistics_classification_dataset__1[[#This Row],[Shipment_Type]]="Kara","Road",IF(logistics_classification_dataset__1[[#This Row],[Shipment_Type]]="Hava","Air",IF(logistics_classification_dataset__1[[#This Row],[Shipment_Type]]="Deniz","Sea")))</f>
        <v>Air</v>
      </c>
      <c r="F231">
        <v>1208.1099999999999</v>
      </c>
      <c r="G231" t="str">
        <f t="shared" si="6"/>
        <v>1001–1500</v>
      </c>
      <c r="H231" s="1">
        <v>1800.6</v>
      </c>
      <c r="I231" t="str">
        <f t="shared" si="7"/>
        <v>1501–2000</v>
      </c>
      <c r="J231" t="s">
        <v>11</v>
      </c>
      <c r="K231" t="str">
        <f>IF(logistics_classification_dataset__1[[#This Row],[Customer_Segment]]="Bireysel","Individual",IF(logistics_classification_dataset__1[[#This Row],[Customer_Segment]]="Kurumsal","Corporate"))</f>
        <v>Individual</v>
      </c>
      <c r="L231">
        <v>1</v>
      </c>
    </row>
    <row r="232" spans="1:12" x14ac:dyDescent="0.35">
      <c r="A232">
        <v>231</v>
      </c>
      <c r="B232" t="s">
        <v>12</v>
      </c>
      <c r="C232" t="s">
        <v>17</v>
      </c>
      <c r="D232" t="s">
        <v>10</v>
      </c>
      <c r="E232" t="str">
        <f>IF(logistics_classification_dataset__1[[#This Row],[Shipment_Type]]="Kara","Road",IF(logistics_classification_dataset__1[[#This Row],[Shipment_Type]]="Hava","Air",IF(logistics_classification_dataset__1[[#This Row],[Shipment_Type]]="Deniz","Sea")))</f>
        <v>Road</v>
      </c>
      <c r="F232">
        <v>1671.64</v>
      </c>
      <c r="G232" t="str">
        <f t="shared" si="6"/>
        <v>1501–2000</v>
      </c>
      <c r="H232" s="1">
        <v>1503.1</v>
      </c>
      <c r="I232" t="str">
        <f t="shared" si="7"/>
        <v>1501–2000</v>
      </c>
      <c r="J232" t="s">
        <v>14</v>
      </c>
      <c r="K232" t="str">
        <f>IF(logistics_classification_dataset__1[[#This Row],[Customer_Segment]]="Bireysel","Individual",IF(logistics_classification_dataset__1[[#This Row],[Customer_Segment]]="Kurumsal","Corporate"))</f>
        <v>Corporate</v>
      </c>
      <c r="L232">
        <v>1</v>
      </c>
    </row>
    <row r="233" spans="1:12" x14ac:dyDescent="0.35">
      <c r="A233">
        <v>232</v>
      </c>
      <c r="B233" t="s">
        <v>9</v>
      </c>
      <c r="C233" t="s">
        <v>20</v>
      </c>
      <c r="D233" t="s">
        <v>19</v>
      </c>
      <c r="E233" t="str">
        <f>IF(logistics_classification_dataset__1[[#This Row],[Shipment_Type]]="Kara","Road",IF(logistics_classification_dataset__1[[#This Row],[Shipment_Type]]="Hava","Air",IF(logistics_classification_dataset__1[[#This Row],[Shipment_Type]]="Deniz","Sea")))</f>
        <v>Sea</v>
      </c>
      <c r="F233">
        <v>1569.92</v>
      </c>
      <c r="G233" t="str">
        <f t="shared" si="6"/>
        <v>1501–2000</v>
      </c>
      <c r="H233" s="1">
        <v>199.1</v>
      </c>
      <c r="I233" t="str">
        <f t="shared" si="7"/>
        <v>0–500</v>
      </c>
      <c r="J233" t="s">
        <v>14</v>
      </c>
      <c r="K233" t="str">
        <f>IF(logistics_classification_dataset__1[[#This Row],[Customer_Segment]]="Bireysel","Individual",IF(logistics_classification_dataset__1[[#This Row],[Customer_Segment]]="Kurumsal","Corporate"))</f>
        <v>Corporate</v>
      </c>
      <c r="L233">
        <v>1</v>
      </c>
    </row>
    <row r="234" spans="1:12" x14ac:dyDescent="0.35">
      <c r="A234">
        <v>233</v>
      </c>
      <c r="B234" t="s">
        <v>22</v>
      </c>
      <c r="C234" t="s">
        <v>8</v>
      </c>
      <c r="D234" t="s">
        <v>15</v>
      </c>
      <c r="E234" t="str">
        <f>IF(logistics_classification_dataset__1[[#This Row],[Shipment_Type]]="Kara","Road",IF(logistics_classification_dataset__1[[#This Row],[Shipment_Type]]="Hava","Air",IF(logistics_classification_dataset__1[[#This Row],[Shipment_Type]]="Deniz","Sea")))</f>
        <v>Air</v>
      </c>
      <c r="F234">
        <v>757.09</v>
      </c>
      <c r="G234" t="str">
        <f t="shared" si="6"/>
        <v>501–1000</v>
      </c>
      <c r="H234" s="1">
        <v>1797</v>
      </c>
      <c r="I234" t="str">
        <f t="shared" si="7"/>
        <v>1501–2000</v>
      </c>
      <c r="J234" t="s">
        <v>11</v>
      </c>
      <c r="K234" t="str">
        <f>IF(logistics_classification_dataset__1[[#This Row],[Customer_Segment]]="Bireysel","Individual",IF(logistics_classification_dataset__1[[#This Row],[Customer_Segment]]="Kurumsal","Corporate"))</f>
        <v>Individual</v>
      </c>
      <c r="L234">
        <v>1</v>
      </c>
    </row>
    <row r="235" spans="1:12" x14ac:dyDescent="0.35">
      <c r="A235">
        <v>234</v>
      </c>
      <c r="B235" t="s">
        <v>9</v>
      </c>
      <c r="C235" t="s">
        <v>13</v>
      </c>
      <c r="D235" t="s">
        <v>10</v>
      </c>
      <c r="E235" t="str">
        <f>IF(logistics_classification_dataset__1[[#This Row],[Shipment_Type]]="Kara","Road",IF(logistics_classification_dataset__1[[#This Row],[Shipment_Type]]="Hava","Air",IF(logistics_classification_dataset__1[[#This Row],[Shipment_Type]]="Deniz","Sea")))</f>
        <v>Road</v>
      </c>
      <c r="F235">
        <v>1106.22</v>
      </c>
      <c r="G235" t="str">
        <f t="shared" si="6"/>
        <v>1001–1500</v>
      </c>
      <c r="H235" s="1">
        <v>1598.2</v>
      </c>
      <c r="I235" t="str">
        <f t="shared" si="7"/>
        <v>1501–2000</v>
      </c>
      <c r="J235" t="s">
        <v>11</v>
      </c>
      <c r="K235" t="str">
        <f>IF(logistics_classification_dataset__1[[#This Row],[Customer_Segment]]="Bireysel","Individual",IF(logistics_classification_dataset__1[[#This Row],[Customer_Segment]]="Kurumsal","Corporate"))</f>
        <v>Individual</v>
      </c>
      <c r="L235">
        <v>1</v>
      </c>
    </row>
    <row r="236" spans="1:12" x14ac:dyDescent="0.35">
      <c r="A236">
        <v>235</v>
      </c>
      <c r="B236" t="s">
        <v>16</v>
      </c>
      <c r="C236" t="s">
        <v>18</v>
      </c>
      <c r="D236" t="s">
        <v>10</v>
      </c>
      <c r="E236" t="str">
        <f>IF(logistics_classification_dataset__1[[#This Row],[Shipment_Type]]="Kara","Road",IF(logistics_classification_dataset__1[[#This Row],[Shipment_Type]]="Hava","Air",IF(logistics_classification_dataset__1[[#This Row],[Shipment_Type]]="Deniz","Sea")))</f>
        <v>Road</v>
      </c>
      <c r="F236">
        <v>1610.48</v>
      </c>
      <c r="G236" t="str">
        <f t="shared" si="6"/>
        <v>1501–2000</v>
      </c>
      <c r="H236" s="1">
        <v>358.7</v>
      </c>
      <c r="I236" t="str">
        <f t="shared" si="7"/>
        <v>0–500</v>
      </c>
      <c r="J236" t="s">
        <v>14</v>
      </c>
      <c r="K236" t="str">
        <f>IF(logistics_classification_dataset__1[[#This Row],[Customer_Segment]]="Bireysel","Individual",IF(logistics_classification_dataset__1[[#This Row],[Customer_Segment]]="Kurumsal","Corporate"))</f>
        <v>Corporate</v>
      </c>
      <c r="L236">
        <v>1</v>
      </c>
    </row>
    <row r="237" spans="1:12" x14ac:dyDescent="0.35">
      <c r="A237">
        <v>236</v>
      </c>
      <c r="B237" t="s">
        <v>16</v>
      </c>
      <c r="C237" t="s">
        <v>21</v>
      </c>
      <c r="D237" t="s">
        <v>10</v>
      </c>
      <c r="E237" t="str">
        <f>IF(logistics_classification_dataset__1[[#This Row],[Shipment_Type]]="Kara","Road",IF(logistics_classification_dataset__1[[#This Row],[Shipment_Type]]="Hava","Air",IF(logistics_classification_dataset__1[[#This Row],[Shipment_Type]]="Deniz","Sea")))</f>
        <v>Road</v>
      </c>
      <c r="F237">
        <v>96.88</v>
      </c>
      <c r="G237" t="str">
        <f t="shared" si="6"/>
        <v>0–500</v>
      </c>
      <c r="H237" s="1">
        <v>151</v>
      </c>
      <c r="I237" t="str">
        <f t="shared" si="7"/>
        <v>0–500</v>
      </c>
      <c r="J237" t="s">
        <v>14</v>
      </c>
      <c r="K237" t="str">
        <f>IF(logistics_classification_dataset__1[[#This Row],[Customer_Segment]]="Bireysel","Individual",IF(logistics_classification_dataset__1[[#This Row],[Customer_Segment]]="Kurumsal","Corporate"))</f>
        <v>Corporate</v>
      </c>
      <c r="L237">
        <v>1</v>
      </c>
    </row>
    <row r="238" spans="1:12" x14ac:dyDescent="0.35">
      <c r="A238">
        <v>237</v>
      </c>
      <c r="B238" t="s">
        <v>8</v>
      </c>
      <c r="C238" t="s">
        <v>22</v>
      </c>
      <c r="D238" t="s">
        <v>10</v>
      </c>
      <c r="E238" t="str">
        <f>IF(logistics_classification_dataset__1[[#This Row],[Shipment_Type]]="Kara","Road",IF(logistics_classification_dataset__1[[#This Row],[Shipment_Type]]="Hava","Air",IF(logistics_classification_dataset__1[[#This Row],[Shipment_Type]]="Deniz","Sea")))</f>
        <v>Road</v>
      </c>
      <c r="F238">
        <v>1617.12</v>
      </c>
      <c r="G238" t="str">
        <f t="shared" si="6"/>
        <v>1501–2000</v>
      </c>
      <c r="H238" s="1">
        <v>1136.8</v>
      </c>
      <c r="I238" t="str">
        <f t="shared" si="7"/>
        <v>1001–1500</v>
      </c>
      <c r="J238" t="s">
        <v>14</v>
      </c>
      <c r="K238" t="str">
        <f>IF(logistics_classification_dataset__1[[#This Row],[Customer_Segment]]="Bireysel","Individual",IF(logistics_classification_dataset__1[[#This Row],[Customer_Segment]]="Kurumsal","Corporate"))</f>
        <v>Corporate</v>
      </c>
      <c r="L238">
        <v>0</v>
      </c>
    </row>
    <row r="239" spans="1:12" x14ac:dyDescent="0.35">
      <c r="A239">
        <v>238</v>
      </c>
      <c r="B239" t="s">
        <v>20</v>
      </c>
      <c r="C239" t="s">
        <v>8</v>
      </c>
      <c r="D239" t="s">
        <v>19</v>
      </c>
      <c r="E239" t="str">
        <f>IF(logistics_classification_dataset__1[[#This Row],[Shipment_Type]]="Kara","Road",IF(logistics_classification_dataset__1[[#This Row],[Shipment_Type]]="Hava","Air",IF(logistics_classification_dataset__1[[#This Row],[Shipment_Type]]="Deniz","Sea")))</f>
        <v>Sea</v>
      </c>
      <c r="F239">
        <v>359.89</v>
      </c>
      <c r="G239" t="str">
        <f t="shared" si="6"/>
        <v>0–500</v>
      </c>
      <c r="H239" s="1">
        <v>354.3</v>
      </c>
      <c r="I239" t="str">
        <f t="shared" si="7"/>
        <v>0–500</v>
      </c>
      <c r="J239" t="s">
        <v>11</v>
      </c>
      <c r="K239" t="str">
        <f>IF(logistics_classification_dataset__1[[#This Row],[Customer_Segment]]="Bireysel","Individual",IF(logistics_classification_dataset__1[[#This Row],[Customer_Segment]]="Kurumsal","Corporate"))</f>
        <v>Individual</v>
      </c>
      <c r="L239">
        <v>1</v>
      </c>
    </row>
    <row r="240" spans="1:12" x14ac:dyDescent="0.35">
      <c r="A240">
        <v>239</v>
      </c>
      <c r="B240" t="s">
        <v>20</v>
      </c>
      <c r="C240" t="s">
        <v>13</v>
      </c>
      <c r="D240" t="s">
        <v>10</v>
      </c>
      <c r="E240" t="str">
        <f>IF(logistics_classification_dataset__1[[#This Row],[Shipment_Type]]="Kara","Road",IF(logistics_classification_dataset__1[[#This Row],[Shipment_Type]]="Hava","Air",IF(logistics_classification_dataset__1[[#This Row],[Shipment_Type]]="Deniz","Sea")))</f>
        <v>Road</v>
      </c>
      <c r="F240">
        <v>1031.79</v>
      </c>
      <c r="G240" t="str">
        <f t="shared" si="6"/>
        <v>1001–1500</v>
      </c>
      <c r="H240" s="1">
        <v>1677.5</v>
      </c>
      <c r="I240" t="str">
        <f t="shared" si="7"/>
        <v>1501–2000</v>
      </c>
      <c r="J240" t="s">
        <v>11</v>
      </c>
      <c r="K240" t="str">
        <f>IF(logistics_classification_dataset__1[[#This Row],[Customer_Segment]]="Bireysel","Individual",IF(logistics_classification_dataset__1[[#This Row],[Customer_Segment]]="Kurumsal","Corporate"))</f>
        <v>Individual</v>
      </c>
      <c r="L240">
        <v>1</v>
      </c>
    </row>
    <row r="241" spans="1:12" x14ac:dyDescent="0.35">
      <c r="A241">
        <v>240</v>
      </c>
      <c r="B241" t="s">
        <v>18</v>
      </c>
      <c r="C241" t="s">
        <v>21</v>
      </c>
      <c r="D241" t="s">
        <v>15</v>
      </c>
      <c r="E241" t="str">
        <f>IF(logistics_classification_dataset__1[[#This Row],[Shipment_Type]]="Kara","Road",IF(logistics_classification_dataset__1[[#This Row],[Shipment_Type]]="Hava","Air",IF(logistics_classification_dataset__1[[#This Row],[Shipment_Type]]="Deniz","Sea")))</f>
        <v>Air</v>
      </c>
      <c r="F241">
        <v>1617.51</v>
      </c>
      <c r="G241" t="str">
        <f t="shared" si="6"/>
        <v>1501–2000</v>
      </c>
      <c r="H241" s="1">
        <v>748.8</v>
      </c>
      <c r="I241" t="str">
        <f t="shared" si="7"/>
        <v>501–1000</v>
      </c>
      <c r="J241" t="s">
        <v>14</v>
      </c>
      <c r="K241" t="str">
        <f>IF(logistics_classification_dataset__1[[#This Row],[Customer_Segment]]="Bireysel","Individual",IF(logistics_classification_dataset__1[[#This Row],[Customer_Segment]]="Kurumsal","Corporate"))</f>
        <v>Corporate</v>
      </c>
      <c r="L241">
        <v>1</v>
      </c>
    </row>
    <row r="242" spans="1:12" x14ac:dyDescent="0.35">
      <c r="A242">
        <v>241</v>
      </c>
      <c r="B242" t="s">
        <v>18</v>
      </c>
      <c r="C242" t="s">
        <v>21</v>
      </c>
      <c r="D242" t="s">
        <v>10</v>
      </c>
      <c r="E242" t="str">
        <f>IF(logistics_classification_dataset__1[[#This Row],[Shipment_Type]]="Kara","Road",IF(logistics_classification_dataset__1[[#This Row],[Shipment_Type]]="Hava","Air",IF(logistics_classification_dataset__1[[#This Row],[Shipment_Type]]="Deniz","Sea")))</f>
        <v>Road</v>
      </c>
      <c r="F242">
        <v>511.37</v>
      </c>
      <c r="G242" t="str">
        <f t="shared" si="6"/>
        <v>501–1000</v>
      </c>
      <c r="H242" s="1">
        <v>1830.1</v>
      </c>
      <c r="I242" t="str">
        <f t="shared" si="7"/>
        <v>1501–2000</v>
      </c>
      <c r="J242" t="s">
        <v>11</v>
      </c>
      <c r="K242" t="str">
        <f>IF(logistics_classification_dataset__1[[#This Row],[Customer_Segment]]="Bireysel","Individual",IF(logistics_classification_dataset__1[[#This Row],[Customer_Segment]]="Kurumsal","Corporate"))</f>
        <v>Individual</v>
      </c>
      <c r="L242">
        <v>1</v>
      </c>
    </row>
    <row r="243" spans="1:12" x14ac:dyDescent="0.35">
      <c r="A243">
        <v>242</v>
      </c>
      <c r="B243" t="s">
        <v>18</v>
      </c>
      <c r="C243" t="s">
        <v>16</v>
      </c>
      <c r="D243" t="s">
        <v>10</v>
      </c>
      <c r="E243" t="str">
        <f>IF(logistics_classification_dataset__1[[#This Row],[Shipment_Type]]="Kara","Road",IF(logistics_classification_dataset__1[[#This Row],[Shipment_Type]]="Hava","Air",IF(logistics_classification_dataset__1[[#This Row],[Shipment_Type]]="Deniz","Sea")))</f>
        <v>Road</v>
      </c>
      <c r="F243">
        <v>495.39</v>
      </c>
      <c r="G243" t="str">
        <f t="shared" si="6"/>
        <v>0–500</v>
      </c>
      <c r="H243" s="1">
        <v>1153.0999999999999</v>
      </c>
      <c r="I243" t="str">
        <f t="shared" si="7"/>
        <v>1001–1500</v>
      </c>
      <c r="J243" t="s">
        <v>11</v>
      </c>
      <c r="K243" t="str">
        <f>IF(logistics_classification_dataset__1[[#This Row],[Customer_Segment]]="Bireysel","Individual",IF(logistics_classification_dataset__1[[#This Row],[Customer_Segment]]="Kurumsal","Corporate"))</f>
        <v>Individual</v>
      </c>
      <c r="L243">
        <v>1</v>
      </c>
    </row>
    <row r="244" spans="1:12" x14ac:dyDescent="0.35">
      <c r="A244">
        <v>243</v>
      </c>
      <c r="B244" t="s">
        <v>12</v>
      </c>
      <c r="C244" t="s">
        <v>13</v>
      </c>
      <c r="D244" t="s">
        <v>10</v>
      </c>
      <c r="E244" t="str">
        <f>IF(logistics_classification_dataset__1[[#This Row],[Shipment_Type]]="Kara","Road",IF(logistics_classification_dataset__1[[#This Row],[Shipment_Type]]="Hava","Air",IF(logistics_classification_dataset__1[[#This Row],[Shipment_Type]]="Deniz","Sea")))</f>
        <v>Road</v>
      </c>
      <c r="F244">
        <v>808.51</v>
      </c>
      <c r="G244" t="str">
        <f t="shared" si="6"/>
        <v>501–1000</v>
      </c>
      <c r="H244" s="1">
        <v>406.2</v>
      </c>
      <c r="I244" t="str">
        <f t="shared" si="7"/>
        <v>0–500</v>
      </c>
      <c r="J244" t="s">
        <v>14</v>
      </c>
      <c r="K244" t="str">
        <f>IF(logistics_classification_dataset__1[[#This Row],[Customer_Segment]]="Bireysel","Individual",IF(logistics_classification_dataset__1[[#This Row],[Customer_Segment]]="Kurumsal","Corporate"))</f>
        <v>Corporate</v>
      </c>
      <c r="L244">
        <v>1</v>
      </c>
    </row>
    <row r="245" spans="1:12" x14ac:dyDescent="0.35">
      <c r="A245">
        <v>244</v>
      </c>
      <c r="B245" t="s">
        <v>13</v>
      </c>
      <c r="C245" t="s">
        <v>9</v>
      </c>
      <c r="D245" t="s">
        <v>10</v>
      </c>
      <c r="E245" t="str">
        <f>IF(logistics_classification_dataset__1[[#This Row],[Shipment_Type]]="Kara","Road",IF(logistics_classification_dataset__1[[#This Row],[Shipment_Type]]="Hava","Air",IF(logistics_classification_dataset__1[[#This Row],[Shipment_Type]]="Deniz","Sea")))</f>
        <v>Road</v>
      </c>
      <c r="F245">
        <v>1789.81</v>
      </c>
      <c r="G245" t="str">
        <f t="shared" si="6"/>
        <v>1501–2000</v>
      </c>
      <c r="H245" s="1">
        <v>322.2</v>
      </c>
      <c r="I245" t="str">
        <f t="shared" si="7"/>
        <v>0–500</v>
      </c>
      <c r="J245" t="s">
        <v>11</v>
      </c>
      <c r="K245" t="str">
        <f>IF(logistics_classification_dataset__1[[#This Row],[Customer_Segment]]="Bireysel","Individual",IF(logistics_classification_dataset__1[[#This Row],[Customer_Segment]]="Kurumsal","Corporate"))</f>
        <v>Individual</v>
      </c>
      <c r="L245">
        <v>1</v>
      </c>
    </row>
    <row r="246" spans="1:12" x14ac:dyDescent="0.35">
      <c r="A246">
        <v>245</v>
      </c>
      <c r="B246" t="s">
        <v>21</v>
      </c>
      <c r="C246" t="s">
        <v>17</v>
      </c>
      <c r="D246" t="s">
        <v>10</v>
      </c>
      <c r="E246" t="str">
        <f>IF(logistics_classification_dataset__1[[#This Row],[Shipment_Type]]="Kara","Road",IF(logistics_classification_dataset__1[[#This Row],[Shipment_Type]]="Hava","Air",IF(logistics_classification_dataset__1[[#This Row],[Shipment_Type]]="Deniz","Sea")))</f>
        <v>Road</v>
      </c>
      <c r="F246">
        <v>5.88</v>
      </c>
      <c r="G246" t="str">
        <f t="shared" si="6"/>
        <v>0–500</v>
      </c>
      <c r="H246" s="1">
        <v>1174.0999999999999</v>
      </c>
      <c r="I246" t="str">
        <f t="shared" si="7"/>
        <v>1001–1500</v>
      </c>
      <c r="J246" t="s">
        <v>11</v>
      </c>
      <c r="K246" t="str">
        <f>IF(logistics_classification_dataset__1[[#This Row],[Customer_Segment]]="Bireysel","Individual",IF(logistics_classification_dataset__1[[#This Row],[Customer_Segment]]="Kurumsal","Corporate"))</f>
        <v>Individual</v>
      </c>
      <c r="L246">
        <v>1</v>
      </c>
    </row>
    <row r="247" spans="1:12" x14ac:dyDescent="0.35">
      <c r="A247">
        <v>246</v>
      </c>
      <c r="B247" t="s">
        <v>13</v>
      </c>
      <c r="C247" t="s">
        <v>12</v>
      </c>
      <c r="D247" t="s">
        <v>19</v>
      </c>
      <c r="E247" t="str">
        <f>IF(logistics_classification_dataset__1[[#This Row],[Shipment_Type]]="Kara","Road",IF(logistics_classification_dataset__1[[#This Row],[Shipment_Type]]="Hava","Air",IF(logistics_classification_dataset__1[[#This Row],[Shipment_Type]]="Deniz","Sea")))</f>
        <v>Sea</v>
      </c>
      <c r="F247">
        <v>1803.26</v>
      </c>
      <c r="G247" t="str">
        <f t="shared" si="6"/>
        <v>1501–2000</v>
      </c>
      <c r="H247" s="1">
        <v>1535.7</v>
      </c>
      <c r="I247" t="str">
        <f t="shared" si="7"/>
        <v>1501–2000</v>
      </c>
      <c r="J247" t="s">
        <v>11</v>
      </c>
      <c r="K247" t="str">
        <f>IF(logistics_classification_dataset__1[[#This Row],[Customer_Segment]]="Bireysel","Individual",IF(logistics_classification_dataset__1[[#This Row],[Customer_Segment]]="Kurumsal","Corporate"))</f>
        <v>Individual</v>
      </c>
      <c r="L247">
        <v>0</v>
      </c>
    </row>
    <row r="248" spans="1:12" x14ac:dyDescent="0.35">
      <c r="A248">
        <v>247</v>
      </c>
      <c r="B248" t="s">
        <v>9</v>
      </c>
      <c r="C248" t="s">
        <v>12</v>
      </c>
      <c r="D248" t="s">
        <v>10</v>
      </c>
      <c r="E248" t="str">
        <f>IF(logistics_classification_dataset__1[[#This Row],[Shipment_Type]]="Kara","Road",IF(logistics_classification_dataset__1[[#This Row],[Shipment_Type]]="Hava","Air",IF(logistics_classification_dataset__1[[#This Row],[Shipment_Type]]="Deniz","Sea")))</f>
        <v>Road</v>
      </c>
      <c r="F248">
        <v>311.85000000000002</v>
      </c>
      <c r="G248" t="str">
        <f t="shared" si="6"/>
        <v>0–500</v>
      </c>
      <c r="H248" s="1">
        <v>1573.9</v>
      </c>
      <c r="I248" t="str">
        <f t="shared" si="7"/>
        <v>1501–2000</v>
      </c>
      <c r="J248" t="s">
        <v>11</v>
      </c>
      <c r="K248" t="str">
        <f>IF(logistics_classification_dataset__1[[#This Row],[Customer_Segment]]="Bireysel","Individual",IF(logistics_classification_dataset__1[[#This Row],[Customer_Segment]]="Kurumsal","Corporate"))</f>
        <v>Individual</v>
      </c>
      <c r="L248">
        <v>1</v>
      </c>
    </row>
    <row r="249" spans="1:12" x14ac:dyDescent="0.35">
      <c r="A249">
        <v>248</v>
      </c>
      <c r="B249" t="s">
        <v>13</v>
      </c>
      <c r="C249" t="s">
        <v>18</v>
      </c>
      <c r="D249" t="s">
        <v>15</v>
      </c>
      <c r="E249" t="str">
        <f>IF(logistics_classification_dataset__1[[#This Row],[Shipment_Type]]="Kara","Road",IF(logistics_classification_dataset__1[[#This Row],[Shipment_Type]]="Hava","Air",IF(logistics_classification_dataset__1[[#This Row],[Shipment_Type]]="Deniz","Sea")))</f>
        <v>Air</v>
      </c>
      <c r="F249">
        <v>1980.22</v>
      </c>
      <c r="G249" t="str">
        <f t="shared" si="6"/>
        <v>1501–2000</v>
      </c>
      <c r="H249" s="1">
        <v>587.70000000000005</v>
      </c>
      <c r="I249" t="str">
        <f t="shared" si="7"/>
        <v>501–1000</v>
      </c>
      <c r="J249" t="s">
        <v>11</v>
      </c>
      <c r="K249" t="str">
        <f>IF(logistics_classification_dataset__1[[#This Row],[Customer_Segment]]="Bireysel","Individual",IF(logistics_classification_dataset__1[[#This Row],[Customer_Segment]]="Kurumsal","Corporate"))</f>
        <v>Individual</v>
      </c>
      <c r="L249">
        <v>1</v>
      </c>
    </row>
    <row r="250" spans="1:12" x14ac:dyDescent="0.35">
      <c r="A250">
        <v>249</v>
      </c>
      <c r="B250" t="s">
        <v>12</v>
      </c>
      <c r="C250" t="s">
        <v>18</v>
      </c>
      <c r="D250" t="s">
        <v>10</v>
      </c>
      <c r="E250" t="str">
        <f>IF(logistics_classification_dataset__1[[#This Row],[Shipment_Type]]="Kara","Road",IF(logistics_classification_dataset__1[[#This Row],[Shipment_Type]]="Hava","Air",IF(logistics_classification_dataset__1[[#This Row],[Shipment_Type]]="Deniz","Sea")))</f>
        <v>Road</v>
      </c>
      <c r="F250">
        <v>1909.92</v>
      </c>
      <c r="G250" t="str">
        <f t="shared" si="6"/>
        <v>1501–2000</v>
      </c>
      <c r="H250" s="1">
        <v>448.3</v>
      </c>
      <c r="I250" t="str">
        <f t="shared" si="7"/>
        <v>0–500</v>
      </c>
      <c r="J250" t="s">
        <v>14</v>
      </c>
      <c r="K250" t="str">
        <f>IF(logistics_classification_dataset__1[[#This Row],[Customer_Segment]]="Bireysel","Individual",IF(logistics_classification_dataset__1[[#This Row],[Customer_Segment]]="Kurumsal","Corporate"))</f>
        <v>Corporate</v>
      </c>
      <c r="L250">
        <v>0</v>
      </c>
    </row>
    <row r="251" spans="1:12" x14ac:dyDescent="0.35">
      <c r="A251">
        <v>250</v>
      </c>
      <c r="B251" t="s">
        <v>9</v>
      </c>
      <c r="C251" t="s">
        <v>12</v>
      </c>
      <c r="D251" t="s">
        <v>10</v>
      </c>
      <c r="E251" t="str">
        <f>IF(logistics_classification_dataset__1[[#This Row],[Shipment_Type]]="Kara","Road",IF(logistics_classification_dataset__1[[#This Row],[Shipment_Type]]="Hava","Air",IF(logistics_classification_dataset__1[[#This Row],[Shipment_Type]]="Deniz","Sea")))</f>
        <v>Road</v>
      </c>
      <c r="F251">
        <v>991.88</v>
      </c>
      <c r="G251" t="str">
        <f t="shared" si="6"/>
        <v>501–1000</v>
      </c>
      <c r="H251" s="1">
        <v>82.7</v>
      </c>
      <c r="I251" t="str">
        <f t="shared" si="7"/>
        <v>0–500</v>
      </c>
      <c r="J251" t="s">
        <v>11</v>
      </c>
      <c r="K251" t="str">
        <f>IF(logistics_classification_dataset__1[[#This Row],[Customer_Segment]]="Bireysel","Individual",IF(logistics_classification_dataset__1[[#This Row],[Customer_Segment]]="Kurumsal","Corporate"))</f>
        <v>Individual</v>
      </c>
      <c r="L251">
        <v>1</v>
      </c>
    </row>
    <row r="252" spans="1:12" x14ac:dyDescent="0.35">
      <c r="A252">
        <v>251</v>
      </c>
      <c r="B252" t="s">
        <v>13</v>
      </c>
      <c r="C252" t="s">
        <v>9</v>
      </c>
      <c r="D252" t="s">
        <v>10</v>
      </c>
      <c r="E252" t="str">
        <f>IF(logistics_classification_dataset__1[[#This Row],[Shipment_Type]]="Kara","Road",IF(logistics_classification_dataset__1[[#This Row],[Shipment_Type]]="Hava","Air",IF(logistics_classification_dataset__1[[#This Row],[Shipment_Type]]="Deniz","Sea")))</f>
        <v>Road</v>
      </c>
      <c r="F252">
        <v>1027.8800000000001</v>
      </c>
      <c r="G252" t="str">
        <f t="shared" si="6"/>
        <v>1001–1500</v>
      </c>
      <c r="H252" s="1">
        <v>1374.4</v>
      </c>
      <c r="I252" t="str">
        <f t="shared" si="7"/>
        <v>1001–1500</v>
      </c>
      <c r="J252" t="s">
        <v>11</v>
      </c>
      <c r="K252" t="str">
        <f>IF(logistics_classification_dataset__1[[#This Row],[Customer_Segment]]="Bireysel","Individual",IF(logistics_classification_dataset__1[[#This Row],[Customer_Segment]]="Kurumsal","Corporate"))</f>
        <v>Individual</v>
      </c>
      <c r="L252">
        <v>1</v>
      </c>
    </row>
    <row r="253" spans="1:12" x14ac:dyDescent="0.35">
      <c r="A253">
        <v>252</v>
      </c>
      <c r="B253" t="s">
        <v>12</v>
      </c>
      <c r="C253" t="s">
        <v>22</v>
      </c>
      <c r="D253" t="s">
        <v>10</v>
      </c>
      <c r="E253" t="str">
        <f>IF(logistics_classification_dataset__1[[#This Row],[Shipment_Type]]="Kara","Road",IF(logistics_classification_dataset__1[[#This Row],[Shipment_Type]]="Hava","Air",IF(logistics_classification_dataset__1[[#This Row],[Shipment_Type]]="Deniz","Sea")))</f>
        <v>Road</v>
      </c>
      <c r="F253">
        <v>965.69</v>
      </c>
      <c r="G253" t="str">
        <f t="shared" si="6"/>
        <v>501–1000</v>
      </c>
      <c r="H253" s="1">
        <v>199.3</v>
      </c>
      <c r="I253" t="str">
        <f t="shared" si="7"/>
        <v>0–500</v>
      </c>
      <c r="J253" t="s">
        <v>14</v>
      </c>
      <c r="K253" t="str">
        <f>IF(logistics_classification_dataset__1[[#This Row],[Customer_Segment]]="Bireysel","Individual",IF(logistics_classification_dataset__1[[#This Row],[Customer_Segment]]="Kurumsal","Corporate"))</f>
        <v>Corporate</v>
      </c>
      <c r="L253">
        <v>1</v>
      </c>
    </row>
    <row r="254" spans="1:12" x14ac:dyDescent="0.35">
      <c r="A254">
        <v>253</v>
      </c>
      <c r="B254" t="s">
        <v>21</v>
      </c>
      <c r="C254" t="s">
        <v>20</v>
      </c>
      <c r="D254" t="s">
        <v>10</v>
      </c>
      <c r="E254" t="str">
        <f>IF(logistics_classification_dataset__1[[#This Row],[Shipment_Type]]="Kara","Road",IF(logistics_classification_dataset__1[[#This Row],[Shipment_Type]]="Hava","Air",IF(logistics_classification_dataset__1[[#This Row],[Shipment_Type]]="Deniz","Sea")))</f>
        <v>Road</v>
      </c>
      <c r="F254">
        <v>1272.71</v>
      </c>
      <c r="G254" t="str">
        <f t="shared" si="6"/>
        <v>1001–1500</v>
      </c>
      <c r="H254" s="1">
        <v>870.5</v>
      </c>
      <c r="I254" t="str">
        <f t="shared" si="7"/>
        <v>501–1000</v>
      </c>
      <c r="J254" t="s">
        <v>11</v>
      </c>
      <c r="K254" t="str">
        <f>IF(logistics_classification_dataset__1[[#This Row],[Customer_Segment]]="Bireysel","Individual",IF(logistics_classification_dataset__1[[#This Row],[Customer_Segment]]="Kurumsal","Corporate"))</f>
        <v>Individual</v>
      </c>
      <c r="L254">
        <v>0</v>
      </c>
    </row>
    <row r="255" spans="1:12" x14ac:dyDescent="0.35">
      <c r="A255">
        <v>254</v>
      </c>
      <c r="B255" t="s">
        <v>13</v>
      </c>
      <c r="C255" t="s">
        <v>17</v>
      </c>
      <c r="D255" t="s">
        <v>10</v>
      </c>
      <c r="E255" t="str">
        <f>IF(logistics_classification_dataset__1[[#This Row],[Shipment_Type]]="Kara","Road",IF(logistics_classification_dataset__1[[#This Row],[Shipment_Type]]="Hava","Air",IF(logistics_classification_dataset__1[[#This Row],[Shipment_Type]]="Deniz","Sea")))</f>
        <v>Road</v>
      </c>
      <c r="F255">
        <v>185.99</v>
      </c>
      <c r="G255" t="str">
        <f t="shared" si="6"/>
        <v>0–500</v>
      </c>
      <c r="H255" s="1">
        <v>1223.3</v>
      </c>
      <c r="I255" t="str">
        <f t="shared" si="7"/>
        <v>1001–1500</v>
      </c>
      <c r="J255" t="s">
        <v>11</v>
      </c>
      <c r="K255" t="str">
        <f>IF(logistics_classification_dataset__1[[#This Row],[Customer_Segment]]="Bireysel","Individual",IF(logistics_classification_dataset__1[[#This Row],[Customer_Segment]]="Kurumsal","Corporate"))</f>
        <v>Individual</v>
      </c>
      <c r="L255">
        <v>1</v>
      </c>
    </row>
    <row r="256" spans="1:12" x14ac:dyDescent="0.35">
      <c r="A256">
        <v>255</v>
      </c>
      <c r="B256" t="s">
        <v>12</v>
      </c>
      <c r="C256" t="s">
        <v>22</v>
      </c>
      <c r="D256" t="s">
        <v>10</v>
      </c>
      <c r="E256" t="str">
        <f>IF(logistics_classification_dataset__1[[#This Row],[Shipment_Type]]="Kara","Road",IF(logistics_classification_dataset__1[[#This Row],[Shipment_Type]]="Hava","Air",IF(logistics_classification_dataset__1[[#This Row],[Shipment_Type]]="Deniz","Sea")))</f>
        <v>Road</v>
      </c>
      <c r="F256">
        <v>70.069999999999993</v>
      </c>
      <c r="G256" t="str">
        <f t="shared" si="6"/>
        <v>0–500</v>
      </c>
      <c r="H256" s="1">
        <v>1877.4</v>
      </c>
      <c r="I256" t="str">
        <f t="shared" si="7"/>
        <v>1501–2000</v>
      </c>
      <c r="J256" t="s">
        <v>14</v>
      </c>
      <c r="K256" t="str">
        <f>IF(logistics_classification_dataset__1[[#This Row],[Customer_Segment]]="Bireysel","Individual",IF(logistics_classification_dataset__1[[#This Row],[Customer_Segment]]="Kurumsal","Corporate"))</f>
        <v>Corporate</v>
      </c>
      <c r="L256">
        <v>1</v>
      </c>
    </row>
    <row r="257" spans="1:12" x14ac:dyDescent="0.35">
      <c r="A257">
        <v>256</v>
      </c>
      <c r="B257" t="s">
        <v>18</v>
      </c>
      <c r="C257" t="s">
        <v>16</v>
      </c>
      <c r="D257" t="s">
        <v>10</v>
      </c>
      <c r="E257" t="str">
        <f>IF(logistics_classification_dataset__1[[#This Row],[Shipment_Type]]="Kara","Road",IF(logistics_classification_dataset__1[[#This Row],[Shipment_Type]]="Hava","Air",IF(logistics_classification_dataset__1[[#This Row],[Shipment_Type]]="Deniz","Sea")))</f>
        <v>Road</v>
      </c>
      <c r="F257">
        <v>120.12</v>
      </c>
      <c r="G257" t="str">
        <f t="shared" si="6"/>
        <v>0–500</v>
      </c>
      <c r="H257" s="1">
        <v>658</v>
      </c>
      <c r="I257" t="str">
        <f t="shared" si="7"/>
        <v>501–1000</v>
      </c>
      <c r="J257" t="s">
        <v>14</v>
      </c>
      <c r="K257" t="str">
        <f>IF(logistics_classification_dataset__1[[#This Row],[Customer_Segment]]="Bireysel","Individual",IF(logistics_classification_dataset__1[[#This Row],[Customer_Segment]]="Kurumsal","Corporate"))</f>
        <v>Corporate</v>
      </c>
      <c r="L257">
        <v>1</v>
      </c>
    </row>
    <row r="258" spans="1:12" x14ac:dyDescent="0.35">
      <c r="A258">
        <v>257</v>
      </c>
      <c r="B258" t="s">
        <v>20</v>
      </c>
      <c r="C258" t="s">
        <v>16</v>
      </c>
      <c r="D258" t="s">
        <v>10</v>
      </c>
      <c r="E258" t="str">
        <f>IF(logistics_classification_dataset__1[[#This Row],[Shipment_Type]]="Kara","Road",IF(logistics_classification_dataset__1[[#This Row],[Shipment_Type]]="Hava","Air",IF(logistics_classification_dataset__1[[#This Row],[Shipment_Type]]="Deniz","Sea")))</f>
        <v>Road</v>
      </c>
      <c r="F258">
        <v>891.51</v>
      </c>
      <c r="G258" t="str">
        <f t="shared" ref="G258:G321" si="8">IF(F258&lt;=500,"0–500",IF(F258&lt;=1000,"501–1000",IF(F258&lt;=1500,"1001–1500","1501–2000")))</f>
        <v>501–1000</v>
      </c>
      <c r="H258" s="1">
        <v>537.1</v>
      </c>
      <c r="I258" t="str">
        <f t="shared" ref="I258:I321" si="9">IF(H258&lt;=500,"0–500",IF(H258&lt;=1000,"501–1000",IF(H258&lt;=1500,"1001–1500",IF(H258&lt;=2000,"1501–2000","&gt;2000"))))</f>
        <v>501–1000</v>
      </c>
      <c r="J258" t="s">
        <v>11</v>
      </c>
      <c r="K258" t="str">
        <f>IF(logistics_classification_dataset__1[[#This Row],[Customer_Segment]]="Bireysel","Individual",IF(logistics_classification_dataset__1[[#This Row],[Customer_Segment]]="Kurumsal","Corporate"))</f>
        <v>Individual</v>
      </c>
      <c r="L258">
        <v>1</v>
      </c>
    </row>
    <row r="259" spans="1:12" x14ac:dyDescent="0.35">
      <c r="A259">
        <v>258</v>
      </c>
      <c r="B259" t="s">
        <v>18</v>
      </c>
      <c r="C259" t="s">
        <v>20</v>
      </c>
      <c r="D259" t="s">
        <v>10</v>
      </c>
      <c r="E259" t="str">
        <f>IF(logistics_classification_dataset__1[[#This Row],[Shipment_Type]]="Kara","Road",IF(logistics_classification_dataset__1[[#This Row],[Shipment_Type]]="Hava","Air",IF(logistics_classification_dataset__1[[#This Row],[Shipment_Type]]="Deniz","Sea")))</f>
        <v>Road</v>
      </c>
      <c r="F259">
        <v>554.72</v>
      </c>
      <c r="G259" t="str">
        <f t="shared" si="8"/>
        <v>501–1000</v>
      </c>
      <c r="H259" s="1">
        <v>1325.6</v>
      </c>
      <c r="I259" t="str">
        <f t="shared" si="9"/>
        <v>1001–1500</v>
      </c>
      <c r="J259" t="s">
        <v>14</v>
      </c>
      <c r="K259" t="str">
        <f>IF(logistics_classification_dataset__1[[#This Row],[Customer_Segment]]="Bireysel","Individual",IF(logistics_classification_dataset__1[[#This Row],[Customer_Segment]]="Kurumsal","Corporate"))</f>
        <v>Corporate</v>
      </c>
      <c r="L259">
        <v>1</v>
      </c>
    </row>
    <row r="260" spans="1:12" x14ac:dyDescent="0.35">
      <c r="A260">
        <v>259</v>
      </c>
      <c r="B260" t="s">
        <v>20</v>
      </c>
      <c r="C260" t="s">
        <v>13</v>
      </c>
      <c r="D260" t="s">
        <v>19</v>
      </c>
      <c r="E260" t="str">
        <f>IF(logistics_classification_dataset__1[[#This Row],[Shipment_Type]]="Kara","Road",IF(logistics_classification_dataset__1[[#This Row],[Shipment_Type]]="Hava","Air",IF(logistics_classification_dataset__1[[#This Row],[Shipment_Type]]="Deniz","Sea")))</f>
        <v>Sea</v>
      </c>
      <c r="F260">
        <v>1245.97</v>
      </c>
      <c r="G260" t="str">
        <f t="shared" si="8"/>
        <v>1001–1500</v>
      </c>
      <c r="H260" s="1">
        <v>1257.5</v>
      </c>
      <c r="I260" t="str">
        <f t="shared" si="9"/>
        <v>1001–1500</v>
      </c>
      <c r="J260" t="s">
        <v>11</v>
      </c>
      <c r="K260" t="str">
        <f>IF(logistics_classification_dataset__1[[#This Row],[Customer_Segment]]="Bireysel","Individual",IF(logistics_classification_dataset__1[[#This Row],[Customer_Segment]]="Kurumsal","Corporate"))</f>
        <v>Individual</v>
      </c>
      <c r="L260">
        <v>1</v>
      </c>
    </row>
    <row r="261" spans="1:12" x14ac:dyDescent="0.35">
      <c r="A261">
        <v>260</v>
      </c>
      <c r="B261" t="s">
        <v>22</v>
      </c>
      <c r="C261" t="s">
        <v>9</v>
      </c>
      <c r="D261" t="s">
        <v>15</v>
      </c>
      <c r="E261" t="str">
        <f>IF(logistics_classification_dataset__1[[#This Row],[Shipment_Type]]="Kara","Road",IF(logistics_classification_dataset__1[[#This Row],[Shipment_Type]]="Hava","Air",IF(logistics_classification_dataset__1[[#This Row],[Shipment_Type]]="Deniz","Sea")))</f>
        <v>Air</v>
      </c>
      <c r="F261">
        <v>1984.92</v>
      </c>
      <c r="G261" t="str">
        <f t="shared" si="8"/>
        <v>1501–2000</v>
      </c>
      <c r="H261" s="1">
        <v>697.6</v>
      </c>
      <c r="I261" t="str">
        <f t="shared" si="9"/>
        <v>501–1000</v>
      </c>
      <c r="J261" t="s">
        <v>14</v>
      </c>
      <c r="K261" t="str">
        <f>IF(logistics_classification_dataset__1[[#This Row],[Customer_Segment]]="Bireysel","Individual",IF(logistics_classification_dataset__1[[#This Row],[Customer_Segment]]="Kurumsal","Corporate"))</f>
        <v>Corporate</v>
      </c>
      <c r="L261">
        <v>1</v>
      </c>
    </row>
    <row r="262" spans="1:12" x14ac:dyDescent="0.35">
      <c r="A262">
        <v>261</v>
      </c>
      <c r="B262" t="s">
        <v>22</v>
      </c>
      <c r="C262" t="s">
        <v>9</v>
      </c>
      <c r="D262" t="s">
        <v>10</v>
      </c>
      <c r="E262" t="str">
        <f>IF(logistics_classification_dataset__1[[#This Row],[Shipment_Type]]="Kara","Road",IF(logistics_classification_dataset__1[[#This Row],[Shipment_Type]]="Hava","Air",IF(logistics_classification_dataset__1[[#This Row],[Shipment_Type]]="Deniz","Sea")))</f>
        <v>Road</v>
      </c>
      <c r="F262">
        <v>775.71</v>
      </c>
      <c r="G262" t="str">
        <f t="shared" si="8"/>
        <v>501–1000</v>
      </c>
      <c r="H262" s="1">
        <v>1859.8</v>
      </c>
      <c r="I262" t="str">
        <f t="shared" si="9"/>
        <v>1501–2000</v>
      </c>
      <c r="J262" t="s">
        <v>11</v>
      </c>
      <c r="K262" t="str">
        <f>IF(logistics_classification_dataset__1[[#This Row],[Customer_Segment]]="Bireysel","Individual",IF(logistics_classification_dataset__1[[#This Row],[Customer_Segment]]="Kurumsal","Corporate"))</f>
        <v>Individual</v>
      </c>
      <c r="L262">
        <v>1</v>
      </c>
    </row>
    <row r="263" spans="1:12" x14ac:dyDescent="0.35">
      <c r="A263">
        <v>262</v>
      </c>
      <c r="B263" t="s">
        <v>22</v>
      </c>
      <c r="C263" t="s">
        <v>20</v>
      </c>
      <c r="D263" t="s">
        <v>10</v>
      </c>
      <c r="E263" t="str">
        <f>IF(logistics_classification_dataset__1[[#This Row],[Shipment_Type]]="Kara","Road",IF(logistics_classification_dataset__1[[#This Row],[Shipment_Type]]="Hava","Air",IF(logistics_classification_dataset__1[[#This Row],[Shipment_Type]]="Deniz","Sea")))</f>
        <v>Road</v>
      </c>
      <c r="F263">
        <v>1149.81</v>
      </c>
      <c r="G263" t="str">
        <f t="shared" si="8"/>
        <v>1001–1500</v>
      </c>
      <c r="H263" s="1">
        <v>1697.5</v>
      </c>
      <c r="I263" t="str">
        <f t="shared" si="9"/>
        <v>1501–2000</v>
      </c>
      <c r="J263" t="s">
        <v>14</v>
      </c>
      <c r="K263" t="str">
        <f>IF(logistics_classification_dataset__1[[#This Row],[Customer_Segment]]="Bireysel","Individual",IF(logistics_classification_dataset__1[[#This Row],[Customer_Segment]]="Kurumsal","Corporate"))</f>
        <v>Corporate</v>
      </c>
      <c r="L263">
        <v>1</v>
      </c>
    </row>
    <row r="264" spans="1:12" x14ac:dyDescent="0.35">
      <c r="A264">
        <v>263</v>
      </c>
      <c r="B264" t="s">
        <v>21</v>
      </c>
      <c r="C264" t="s">
        <v>13</v>
      </c>
      <c r="D264" t="s">
        <v>19</v>
      </c>
      <c r="E264" t="str">
        <f>IF(logistics_classification_dataset__1[[#This Row],[Shipment_Type]]="Kara","Road",IF(logistics_classification_dataset__1[[#This Row],[Shipment_Type]]="Hava","Air",IF(logistics_classification_dataset__1[[#This Row],[Shipment_Type]]="Deniz","Sea")))</f>
        <v>Sea</v>
      </c>
      <c r="F264">
        <v>834.13</v>
      </c>
      <c r="G264" t="str">
        <f t="shared" si="8"/>
        <v>501–1000</v>
      </c>
      <c r="H264" s="1">
        <v>486.8</v>
      </c>
      <c r="I264" t="str">
        <f t="shared" si="9"/>
        <v>0–500</v>
      </c>
      <c r="J264" t="s">
        <v>11</v>
      </c>
      <c r="K264" t="str">
        <f>IF(logistics_classification_dataset__1[[#This Row],[Customer_Segment]]="Bireysel","Individual",IF(logistics_classification_dataset__1[[#This Row],[Customer_Segment]]="Kurumsal","Corporate"))</f>
        <v>Individual</v>
      </c>
      <c r="L264">
        <v>0</v>
      </c>
    </row>
    <row r="265" spans="1:12" x14ac:dyDescent="0.35">
      <c r="A265">
        <v>264</v>
      </c>
      <c r="B265" t="s">
        <v>18</v>
      </c>
      <c r="C265" t="s">
        <v>17</v>
      </c>
      <c r="D265" t="s">
        <v>15</v>
      </c>
      <c r="E265" t="str">
        <f>IF(logistics_classification_dataset__1[[#This Row],[Shipment_Type]]="Kara","Road",IF(logistics_classification_dataset__1[[#This Row],[Shipment_Type]]="Hava","Air",IF(logistics_classification_dataset__1[[#This Row],[Shipment_Type]]="Deniz","Sea")))</f>
        <v>Air</v>
      </c>
      <c r="F265">
        <v>1695.31</v>
      </c>
      <c r="G265" t="str">
        <f t="shared" si="8"/>
        <v>1501–2000</v>
      </c>
      <c r="H265" s="1">
        <v>516.29999999999995</v>
      </c>
      <c r="I265" t="str">
        <f t="shared" si="9"/>
        <v>501–1000</v>
      </c>
      <c r="J265" t="s">
        <v>11</v>
      </c>
      <c r="K265" t="str">
        <f>IF(logistics_classification_dataset__1[[#This Row],[Customer_Segment]]="Bireysel","Individual",IF(logistics_classification_dataset__1[[#This Row],[Customer_Segment]]="Kurumsal","Corporate"))</f>
        <v>Individual</v>
      </c>
      <c r="L265">
        <v>0</v>
      </c>
    </row>
    <row r="266" spans="1:12" x14ac:dyDescent="0.35">
      <c r="A266">
        <v>265</v>
      </c>
      <c r="B266" t="s">
        <v>20</v>
      </c>
      <c r="C266" t="s">
        <v>21</v>
      </c>
      <c r="D266" t="s">
        <v>10</v>
      </c>
      <c r="E266" t="str">
        <f>IF(logistics_classification_dataset__1[[#This Row],[Shipment_Type]]="Kara","Road",IF(logistics_classification_dataset__1[[#This Row],[Shipment_Type]]="Hava","Air",IF(logistics_classification_dataset__1[[#This Row],[Shipment_Type]]="Deniz","Sea")))</f>
        <v>Road</v>
      </c>
      <c r="F266">
        <v>1804.96</v>
      </c>
      <c r="G266" t="str">
        <f t="shared" si="8"/>
        <v>1501–2000</v>
      </c>
      <c r="H266" s="1">
        <v>1049</v>
      </c>
      <c r="I266" t="str">
        <f t="shared" si="9"/>
        <v>1001–1500</v>
      </c>
      <c r="J266" t="s">
        <v>11</v>
      </c>
      <c r="K266" t="str">
        <f>IF(logistics_classification_dataset__1[[#This Row],[Customer_Segment]]="Bireysel","Individual",IF(logistics_classification_dataset__1[[#This Row],[Customer_Segment]]="Kurumsal","Corporate"))</f>
        <v>Individual</v>
      </c>
      <c r="L266">
        <v>1</v>
      </c>
    </row>
    <row r="267" spans="1:12" x14ac:dyDescent="0.35">
      <c r="A267">
        <v>266</v>
      </c>
      <c r="B267" t="s">
        <v>12</v>
      </c>
      <c r="C267" t="s">
        <v>8</v>
      </c>
      <c r="D267" t="s">
        <v>15</v>
      </c>
      <c r="E267" t="str">
        <f>IF(logistics_classification_dataset__1[[#This Row],[Shipment_Type]]="Kara","Road",IF(logistics_classification_dataset__1[[#This Row],[Shipment_Type]]="Hava","Air",IF(logistics_classification_dataset__1[[#This Row],[Shipment_Type]]="Deniz","Sea")))</f>
        <v>Air</v>
      </c>
      <c r="F267">
        <v>1755.32</v>
      </c>
      <c r="G267" t="str">
        <f t="shared" si="8"/>
        <v>1501–2000</v>
      </c>
      <c r="H267" s="1">
        <v>1558.5</v>
      </c>
      <c r="I267" t="str">
        <f t="shared" si="9"/>
        <v>1501–2000</v>
      </c>
      <c r="J267" t="s">
        <v>11</v>
      </c>
      <c r="K267" t="str">
        <f>IF(logistics_classification_dataset__1[[#This Row],[Customer_Segment]]="Bireysel","Individual",IF(logistics_classification_dataset__1[[#This Row],[Customer_Segment]]="Kurumsal","Corporate"))</f>
        <v>Individual</v>
      </c>
      <c r="L267">
        <v>1</v>
      </c>
    </row>
    <row r="268" spans="1:12" x14ac:dyDescent="0.35">
      <c r="A268">
        <v>267</v>
      </c>
      <c r="B268" t="s">
        <v>9</v>
      </c>
      <c r="C268" t="s">
        <v>18</v>
      </c>
      <c r="D268" t="s">
        <v>10</v>
      </c>
      <c r="E268" t="str">
        <f>IF(logistics_classification_dataset__1[[#This Row],[Shipment_Type]]="Kara","Road",IF(logistics_classification_dataset__1[[#This Row],[Shipment_Type]]="Hava","Air",IF(logistics_classification_dataset__1[[#This Row],[Shipment_Type]]="Deniz","Sea")))</f>
        <v>Road</v>
      </c>
      <c r="F268">
        <v>1948.87</v>
      </c>
      <c r="G268" t="str">
        <f t="shared" si="8"/>
        <v>1501–2000</v>
      </c>
      <c r="H268" s="1">
        <v>135.9</v>
      </c>
      <c r="I268" t="str">
        <f t="shared" si="9"/>
        <v>0–500</v>
      </c>
      <c r="J268" t="s">
        <v>14</v>
      </c>
      <c r="K268" t="str">
        <f>IF(logistics_classification_dataset__1[[#This Row],[Customer_Segment]]="Bireysel","Individual",IF(logistics_classification_dataset__1[[#This Row],[Customer_Segment]]="Kurumsal","Corporate"))</f>
        <v>Corporate</v>
      </c>
      <c r="L268">
        <v>1</v>
      </c>
    </row>
    <row r="269" spans="1:12" x14ac:dyDescent="0.35">
      <c r="A269">
        <v>268</v>
      </c>
      <c r="B269" t="s">
        <v>12</v>
      </c>
      <c r="C269" t="s">
        <v>18</v>
      </c>
      <c r="D269" t="s">
        <v>10</v>
      </c>
      <c r="E269" t="str">
        <f>IF(logistics_classification_dataset__1[[#This Row],[Shipment_Type]]="Kara","Road",IF(logistics_classification_dataset__1[[#This Row],[Shipment_Type]]="Hava","Air",IF(logistics_classification_dataset__1[[#This Row],[Shipment_Type]]="Deniz","Sea")))</f>
        <v>Road</v>
      </c>
      <c r="F269">
        <v>5.99</v>
      </c>
      <c r="G269" t="str">
        <f t="shared" si="8"/>
        <v>0–500</v>
      </c>
      <c r="H269" s="1">
        <v>1402</v>
      </c>
      <c r="I269" t="str">
        <f t="shared" si="9"/>
        <v>1001–1500</v>
      </c>
      <c r="J269" t="s">
        <v>11</v>
      </c>
      <c r="K269" t="str">
        <f>IF(logistics_classification_dataset__1[[#This Row],[Customer_Segment]]="Bireysel","Individual",IF(logistics_classification_dataset__1[[#This Row],[Customer_Segment]]="Kurumsal","Corporate"))</f>
        <v>Individual</v>
      </c>
      <c r="L269">
        <v>1</v>
      </c>
    </row>
    <row r="270" spans="1:12" x14ac:dyDescent="0.35">
      <c r="A270">
        <v>269</v>
      </c>
      <c r="B270" t="s">
        <v>9</v>
      </c>
      <c r="C270" t="s">
        <v>22</v>
      </c>
      <c r="D270" t="s">
        <v>15</v>
      </c>
      <c r="E270" t="str">
        <f>IF(logistics_classification_dataset__1[[#This Row],[Shipment_Type]]="Kara","Road",IF(logistics_classification_dataset__1[[#This Row],[Shipment_Type]]="Hava","Air",IF(logistics_classification_dataset__1[[#This Row],[Shipment_Type]]="Deniz","Sea")))</f>
        <v>Air</v>
      </c>
      <c r="F270">
        <v>1680.43</v>
      </c>
      <c r="G270" t="str">
        <f t="shared" si="8"/>
        <v>1501–2000</v>
      </c>
      <c r="H270" s="1">
        <v>1314.1</v>
      </c>
      <c r="I270" t="str">
        <f t="shared" si="9"/>
        <v>1001–1500</v>
      </c>
      <c r="J270" t="s">
        <v>11</v>
      </c>
      <c r="K270" t="str">
        <f>IF(logistics_classification_dataset__1[[#This Row],[Customer_Segment]]="Bireysel","Individual",IF(logistics_classification_dataset__1[[#This Row],[Customer_Segment]]="Kurumsal","Corporate"))</f>
        <v>Individual</v>
      </c>
      <c r="L270">
        <v>1</v>
      </c>
    </row>
    <row r="271" spans="1:12" x14ac:dyDescent="0.35">
      <c r="A271">
        <v>270</v>
      </c>
      <c r="B271" t="s">
        <v>16</v>
      </c>
      <c r="C271" t="s">
        <v>9</v>
      </c>
      <c r="D271" t="s">
        <v>10</v>
      </c>
      <c r="E271" t="str">
        <f>IF(logistics_classification_dataset__1[[#This Row],[Shipment_Type]]="Kara","Road",IF(logistics_classification_dataset__1[[#This Row],[Shipment_Type]]="Hava","Air",IF(logistics_classification_dataset__1[[#This Row],[Shipment_Type]]="Deniz","Sea")))</f>
        <v>Road</v>
      </c>
      <c r="F271">
        <v>1504.79</v>
      </c>
      <c r="G271" t="str">
        <f t="shared" si="8"/>
        <v>1501–2000</v>
      </c>
      <c r="H271" s="1">
        <v>501.4</v>
      </c>
      <c r="I271" t="str">
        <f t="shared" si="9"/>
        <v>501–1000</v>
      </c>
      <c r="J271" t="s">
        <v>11</v>
      </c>
      <c r="K271" t="str">
        <f>IF(logistics_classification_dataset__1[[#This Row],[Customer_Segment]]="Bireysel","Individual",IF(logistics_classification_dataset__1[[#This Row],[Customer_Segment]]="Kurumsal","Corporate"))</f>
        <v>Individual</v>
      </c>
      <c r="L271">
        <v>1</v>
      </c>
    </row>
    <row r="272" spans="1:12" x14ac:dyDescent="0.35">
      <c r="A272">
        <v>271</v>
      </c>
      <c r="B272" t="s">
        <v>12</v>
      </c>
      <c r="C272" t="s">
        <v>18</v>
      </c>
      <c r="D272" t="s">
        <v>19</v>
      </c>
      <c r="E272" t="str">
        <f>IF(logistics_classification_dataset__1[[#This Row],[Shipment_Type]]="Kara","Road",IF(logistics_classification_dataset__1[[#This Row],[Shipment_Type]]="Hava","Air",IF(logistics_classification_dataset__1[[#This Row],[Shipment_Type]]="Deniz","Sea")))</f>
        <v>Sea</v>
      </c>
      <c r="F272">
        <v>461.25</v>
      </c>
      <c r="G272" t="str">
        <f t="shared" si="8"/>
        <v>0–500</v>
      </c>
      <c r="H272" s="1">
        <v>1378.6</v>
      </c>
      <c r="I272" t="str">
        <f t="shared" si="9"/>
        <v>1001–1500</v>
      </c>
      <c r="J272" t="s">
        <v>11</v>
      </c>
      <c r="K272" t="str">
        <f>IF(logistics_classification_dataset__1[[#This Row],[Customer_Segment]]="Bireysel","Individual",IF(logistics_classification_dataset__1[[#This Row],[Customer_Segment]]="Kurumsal","Corporate"))</f>
        <v>Individual</v>
      </c>
      <c r="L272">
        <v>0</v>
      </c>
    </row>
    <row r="273" spans="1:12" x14ac:dyDescent="0.35">
      <c r="A273">
        <v>272</v>
      </c>
      <c r="B273" t="s">
        <v>13</v>
      </c>
      <c r="C273" t="s">
        <v>21</v>
      </c>
      <c r="D273" t="s">
        <v>15</v>
      </c>
      <c r="E273" t="str">
        <f>IF(logistics_classification_dataset__1[[#This Row],[Shipment_Type]]="Kara","Road",IF(logistics_classification_dataset__1[[#This Row],[Shipment_Type]]="Hava","Air",IF(logistics_classification_dataset__1[[#This Row],[Shipment_Type]]="Deniz","Sea")))</f>
        <v>Air</v>
      </c>
      <c r="F273">
        <v>1912.86</v>
      </c>
      <c r="G273" t="str">
        <f t="shared" si="8"/>
        <v>1501–2000</v>
      </c>
      <c r="H273" s="1">
        <v>1883.4</v>
      </c>
      <c r="I273" t="str">
        <f t="shared" si="9"/>
        <v>1501–2000</v>
      </c>
      <c r="J273" t="s">
        <v>14</v>
      </c>
      <c r="K273" t="str">
        <f>IF(logistics_classification_dataset__1[[#This Row],[Customer_Segment]]="Bireysel","Individual",IF(logistics_classification_dataset__1[[#This Row],[Customer_Segment]]="Kurumsal","Corporate"))</f>
        <v>Corporate</v>
      </c>
      <c r="L273">
        <v>1</v>
      </c>
    </row>
    <row r="274" spans="1:12" x14ac:dyDescent="0.35">
      <c r="A274">
        <v>273</v>
      </c>
      <c r="B274" t="s">
        <v>13</v>
      </c>
      <c r="C274" t="s">
        <v>22</v>
      </c>
      <c r="D274" t="s">
        <v>10</v>
      </c>
      <c r="E274" t="str">
        <f>IF(logistics_classification_dataset__1[[#This Row],[Shipment_Type]]="Kara","Road",IF(logistics_classification_dataset__1[[#This Row],[Shipment_Type]]="Hava","Air",IF(logistics_classification_dataset__1[[#This Row],[Shipment_Type]]="Deniz","Sea")))</f>
        <v>Road</v>
      </c>
      <c r="F274">
        <v>300.61</v>
      </c>
      <c r="G274" t="str">
        <f t="shared" si="8"/>
        <v>0–500</v>
      </c>
      <c r="H274" s="1">
        <v>141.19999999999999</v>
      </c>
      <c r="I274" t="str">
        <f t="shared" si="9"/>
        <v>0–500</v>
      </c>
      <c r="J274" t="s">
        <v>14</v>
      </c>
      <c r="K274" t="str">
        <f>IF(logistics_classification_dataset__1[[#This Row],[Customer_Segment]]="Bireysel","Individual",IF(logistics_classification_dataset__1[[#This Row],[Customer_Segment]]="Kurumsal","Corporate"))</f>
        <v>Corporate</v>
      </c>
      <c r="L274">
        <v>1</v>
      </c>
    </row>
    <row r="275" spans="1:12" x14ac:dyDescent="0.35">
      <c r="A275">
        <v>274</v>
      </c>
      <c r="B275" t="s">
        <v>8</v>
      </c>
      <c r="C275" t="s">
        <v>18</v>
      </c>
      <c r="D275" t="s">
        <v>10</v>
      </c>
      <c r="E275" t="str">
        <f>IF(logistics_classification_dataset__1[[#This Row],[Shipment_Type]]="Kara","Road",IF(logistics_classification_dataset__1[[#This Row],[Shipment_Type]]="Hava","Air",IF(logistics_classification_dataset__1[[#This Row],[Shipment_Type]]="Deniz","Sea")))</f>
        <v>Road</v>
      </c>
      <c r="F275">
        <v>136.07</v>
      </c>
      <c r="G275" t="str">
        <f t="shared" si="8"/>
        <v>0–500</v>
      </c>
      <c r="H275" s="1">
        <v>673.3</v>
      </c>
      <c r="I275" t="str">
        <f t="shared" si="9"/>
        <v>501–1000</v>
      </c>
      <c r="J275" t="s">
        <v>11</v>
      </c>
      <c r="K275" t="str">
        <f>IF(logistics_classification_dataset__1[[#This Row],[Customer_Segment]]="Bireysel","Individual",IF(logistics_classification_dataset__1[[#This Row],[Customer_Segment]]="Kurumsal","Corporate"))</f>
        <v>Individual</v>
      </c>
      <c r="L275">
        <v>1</v>
      </c>
    </row>
    <row r="276" spans="1:12" x14ac:dyDescent="0.35">
      <c r="A276">
        <v>275</v>
      </c>
      <c r="B276" t="s">
        <v>18</v>
      </c>
      <c r="C276" t="s">
        <v>16</v>
      </c>
      <c r="D276" t="s">
        <v>10</v>
      </c>
      <c r="E276" t="str">
        <f>IF(logistics_classification_dataset__1[[#This Row],[Shipment_Type]]="Kara","Road",IF(logistics_classification_dataset__1[[#This Row],[Shipment_Type]]="Hava","Air",IF(logistics_classification_dataset__1[[#This Row],[Shipment_Type]]="Deniz","Sea")))</f>
        <v>Road</v>
      </c>
      <c r="F276">
        <v>453.66</v>
      </c>
      <c r="G276" t="str">
        <f t="shared" si="8"/>
        <v>0–500</v>
      </c>
      <c r="H276" s="1">
        <v>904.4</v>
      </c>
      <c r="I276" t="str">
        <f t="shared" si="9"/>
        <v>501–1000</v>
      </c>
      <c r="J276" t="s">
        <v>14</v>
      </c>
      <c r="K276" t="str">
        <f>IF(logistics_classification_dataset__1[[#This Row],[Customer_Segment]]="Bireysel","Individual",IF(logistics_classification_dataset__1[[#This Row],[Customer_Segment]]="Kurumsal","Corporate"))</f>
        <v>Corporate</v>
      </c>
      <c r="L276">
        <v>1</v>
      </c>
    </row>
    <row r="277" spans="1:12" x14ac:dyDescent="0.35">
      <c r="A277">
        <v>276</v>
      </c>
      <c r="B277" t="s">
        <v>9</v>
      </c>
      <c r="C277" t="s">
        <v>21</v>
      </c>
      <c r="D277" t="s">
        <v>10</v>
      </c>
      <c r="E277" t="str">
        <f>IF(logistics_classification_dataset__1[[#This Row],[Shipment_Type]]="Kara","Road",IF(logistics_classification_dataset__1[[#This Row],[Shipment_Type]]="Hava","Air",IF(logistics_classification_dataset__1[[#This Row],[Shipment_Type]]="Deniz","Sea")))</f>
        <v>Road</v>
      </c>
      <c r="F277">
        <v>86.56</v>
      </c>
      <c r="G277" t="str">
        <f t="shared" si="8"/>
        <v>0–500</v>
      </c>
      <c r="H277" s="1">
        <v>1803.6</v>
      </c>
      <c r="I277" t="str">
        <f t="shared" si="9"/>
        <v>1501–2000</v>
      </c>
      <c r="J277" t="s">
        <v>14</v>
      </c>
      <c r="K277" t="str">
        <f>IF(logistics_classification_dataset__1[[#This Row],[Customer_Segment]]="Bireysel","Individual",IF(logistics_classification_dataset__1[[#This Row],[Customer_Segment]]="Kurumsal","Corporate"))</f>
        <v>Corporate</v>
      </c>
      <c r="L277">
        <v>1</v>
      </c>
    </row>
    <row r="278" spans="1:12" x14ac:dyDescent="0.35">
      <c r="A278">
        <v>277</v>
      </c>
      <c r="B278" t="s">
        <v>9</v>
      </c>
      <c r="C278" t="s">
        <v>22</v>
      </c>
      <c r="D278" t="s">
        <v>15</v>
      </c>
      <c r="E278" t="str">
        <f>IF(logistics_classification_dataset__1[[#This Row],[Shipment_Type]]="Kara","Road",IF(logistics_classification_dataset__1[[#This Row],[Shipment_Type]]="Hava","Air",IF(logistics_classification_dataset__1[[#This Row],[Shipment_Type]]="Deniz","Sea")))</f>
        <v>Air</v>
      </c>
      <c r="F278">
        <v>1439.72</v>
      </c>
      <c r="G278" t="str">
        <f t="shared" si="8"/>
        <v>1001–1500</v>
      </c>
      <c r="H278" s="1">
        <v>1926.4</v>
      </c>
      <c r="I278" t="str">
        <f t="shared" si="9"/>
        <v>1501–2000</v>
      </c>
      <c r="J278" t="s">
        <v>11</v>
      </c>
      <c r="K278" t="str">
        <f>IF(logistics_classification_dataset__1[[#This Row],[Customer_Segment]]="Bireysel","Individual",IF(logistics_classification_dataset__1[[#This Row],[Customer_Segment]]="Kurumsal","Corporate"))</f>
        <v>Individual</v>
      </c>
      <c r="L278">
        <v>1</v>
      </c>
    </row>
    <row r="279" spans="1:12" x14ac:dyDescent="0.35">
      <c r="A279">
        <v>278</v>
      </c>
      <c r="B279" t="s">
        <v>18</v>
      </c>
      <c r="C279" t="s">
        <v>17</v>
      </c>
      <c r="D279" t="s">
        <v>10</v>
      </c>
      <c r="E279" t="str">
        <f>IF(logistics_classification_dataset__1[[#This Row],[Shipment_Type]]="Kara","Road",IF(logistics_classification_dataset__1[[#This Row],[Shipment_Type]]="Hava","Air",IF(logistics_classification_dataset__1[[#This Row],[Shipment_Type]]="Deniz","Sea")))</f>
        <v>Road</v>
      </c>
      <c r="F279">
        <v>1128.83</v>
      </c>
      <c r="G279" t="str">
        <f t="shared" si="8"/>
        <v>1001–1500</v>
      </c>
      <c r="H279" s="1">
        <v>916</v>
      </c>
      <c r="I279" t="str">
        <f t="shared" si="9"/>
        <v>501–1000</v>
      </c>
      <c r="J279" t="s">
        <v>11</v>
      </c>
      <c r="K279" t="str">
        <f>IF(logistics_classification_dataset__1[[#This Row],[Customer_Segment]]="Bireysel","Individual",IF(logistics_classification_dataset__1[[#This Row],[Customer_Segment]]="Kurumsal","Corporate"))</f>
        <v>Individual</v>
      </c>
      <c r="L279">
        <v>1</v>
      </c>
    </row>
    <row r="280" spans="1:12" x14ac:dyDescent="0.35">
      <c r="A280">
        <v>279</v>
      </c>
      <c r="B280" t="s">
        <v>21</v>
      </c>
      <c r="C280" t="s">
        <v>20</v>
      </c>
      <c r="D280" t="s">
        <v>10</v>
      </c>
      <c r="E280" t="str">
        <f>IF(logistics_classification_dataset__1[[#This Row],[Shipment_Type]]="Kara","Road",IF(logistics_classification_dataset__1[[#This Row],[Shipment_Type]]="Hava","Air",IF(logistics_classification_dataset__1[[#This Row],[Shipment_Type]]="Deniz","Sea")))</f>
        <v>Road</v>
      </c>
      <c r="F280">
        <v>857.87</v>
      </c>
      <c r="G280" t="str">
        <f t="shared" si="8"/>
        <v>501–1000</v>
      </c>
      <c r="H280" s="1">
        <v>1512.6</v>
      </c>
      <c r="I280" t="str">
        <f t="shared" si="9"/>
        <v>1501–2000</v>
      </c>
      <c r="J280" t="s">
        <v>14</v>
      </c>
      <c r="K280" t="str">
        <f>IF(logistics_classification_dataset__1[[#This Row],[Customer_Segment]]="Bireysel","Individual",IF(logistics_classification_dataset__1[[#This Row],[Customer_Segment]]="Kurumsal","Corporate"))</f>
        <v>Corporate</v>
      </c>
      <c r="L280">
        <v>0</v>
      </c>
    </row>
    <row r="281" spans="1:12" x14ac:dyDescent="0.35">
      <c r="A281">
        <v>280</v>
      </c>
      <c r="B281" t="s">
        <v>8</v>
      </c>
      <c r="C281" t="s">
        <v>21</v>
      </c>
      <c r="D281" t="s">
        <v>15</v>
      </c>
      <c r="E281" t="str">
        <f>IF(logistics_classification_dataset__1[[#This Row],[Shipment_Type]]="Kara","Road",IF(logistics_classification_dataset__1[[#This Row],[Shipment_Type]]="Hava","Air",IF(logistics_classification_dataset__1[[#This Row],[Shipment_Type]]="Deniz","Sea")))</f>
        <v>Air</v>
      </c>
      <c r="F281">
        <v>656.05</v>
      </c>
      <c r="G281" t="str">
        <f t="shared" si="8"/>
        <v>501–1000</v>
      </c>
      <c r="H281" s="1">
        <v>1086.7</v>
      </c>
      <c r="I281" t="str">
        <f t="shared" si="9"/>
        <v>1001–1500</v>
      </c>
      <c r="J281" t="s">
        <v>11</v>
      </c>
      <c r="K281" t="str">
        <f>IF(logistics_classification_dataset__1[[#This Row],[Customer_Segment]]="Bireysel","Individual",IF(logistics_classification_dataset__1[[#This Row],[Customer_Segment]]="Kurumsal","Corporate"))</f>
        <v>Individual</v>
      </c>
      <c r="L281">
        <v>1</v>
      </c>
    </row>
    <row r="282" spans="1:12" x14ac:dyDescent="0.35">
      <c r="A282">
        <v>281</v>
      </c>
      <c r="B282" t="s">
        <v>21</v>
      </c>
      <c r="C282" t="s">
        <v>9</v>
      </c>
      <c r="D282" t="s">
        <v>10</v>
      </c>
      <c r="E282" t="str">
        <f>IF(logistics_classification_dataset__1[[#This Row],[Shipment_Type]]="Kara","Road",IF(logistics_classification_dataset__1[[#This Row],[Shipment_Type]]="Hava","Air",IF(logistics_classification_dataset__1[[#This Row],[Shipment_Type]]="Deniz","Sea")))</f>
        <v>Road</v>
      </c>
      <c r="F282">
        <v>1680.12</v>
      </c>
      <c r="G282" t="str">
        <f t="shared" si="8"/>
        <v>1501–2000</v>
      </c>
      <c r="H282" s="1">
        <v>1098.7</v>
      </c>
      <c r="I282" t="str">
        <f t="shared" si="9"/>
        <v>1001–1500</v>
      </c>
      <c r="J282" t="s">
        <v>14</v>
      </c>
      <c r="K282" t="str">
        <f>IF(logistics_classification_dataset__1[[#This Row],[Customer_Segment]]="Bireysel","Individual",IF(logistics_classification_dataset__1[[#This Row],[Customer_Segment]]="Kurumsal","Corporate"))</f>
        <v>Corporate</v>
      </c>
      <c r="L282">
        <v>0</v>
      </c>
    </row>
    <row r="283" spans="1:12" x14ac:dyDescent="0.35">
      <c r="A283">
        <v>282</v>
      </c>
      <c r="B283" t="s">
        <v>21</v>
      </c>
      <c r="C283" t="s">
        <v>13</v>
      </c>
      <c r="D283" t="s">
        <v>15</v>
      </c>
      <c r="E283" t="str">
        <f>IF(logistics_classification_dataset__1[[#This Row],[Shipment_Type]]="Kara","Road",IF(logistics_classification_dataset__1[[#This Row],[Shipment_Type]]="Hava","Air",IF(logistics_classification_dataset__1[[#This Row],[Shipment_Type]]="Deniz","Sea")))</f>
        <v>Air</v>
      </c>
      <c r="F283">
        <v>291.91000000000003</v>
      </c>
      <c r="G283" t="str">
        <f t="shared" si="8"/>
        <v>0–500</v>
      </c>
      <c r="H283" s="1">
        <v>592.29999999999995</v>
      </c>
      <c r="I283" t="str">
        <f t="shared" si="9"/>
        <v>501–1000</v>
      </c>
      <c r="J283" t="s">
        <v>11</v>
      </c>
      <c r="K283" t="str">
        <f>IF(logistics_classification_dataset__1[[#This Row],[Customer_Segment]]="Bireysel","Individual",IF(logistics_classification_dataset__1[[#This Row],[Customer_Segment]]="Kurumsal","Corporate"))</f>
        <v>Individual</v>
      </c>
      <c r="L283">
        <v>1</v>
      </c>
    </row>
    <row r="284" spans="1:12" x14ac:dyDescent="0.35">
      <c r="A284">
        <v>283</v>
      </c>
      <c r="B284" t="s">
        <v>21</v>
      </c>
      <c r="C284" t="s">
        <v>18</v>
      </c>
      <c r="D284" t="s">
        <v>10</v>
      </c>
      <c r="E284" t="str">
        <f>IF(logistics_classification_dataset__1[[#This Row],[Shipment_Type]]="Kara","Road",IF(logistics_classification_dataset__1[[#This Row],[Shipment_Type]]="Hava","Air",IF(logistics_classification_dataset__1[[#This Row],[Shipment_Type]]="Deniz","Sea")))</f>
        <v>Road</v>
      </c>
      <c r="F284">
        <v>863.06</v>
      </c>
      <c r="G284" t="str">
        <f t="shared" si="8"/>
        <v>501–1000</v>
      </c>
      <c r="H284" s="1">
        <v>473.1</v>
      </c>
      <c r="I284" t="str">
        <f t="shared" si="9"/>
        <v>0–500</v>
      </c>
      <c r="J284" t="s">
        <v>11</v>
      </c>
      <c r="K284" t="str">
        <f>IF(logistics_classification_dataset__1[[#This Row],[Customer_Segment]]="Bireysel","Individual",IF(logistics_classification_dataset__1[[#This Row],[Customer_Segment]]="Kurumsal","Corporate"))</f>
        <v>Individual</v>
      </c>
      <c r="L284">
        <v>1</v>
      </c>
    </row>
    <row r="285" spans="1:12" x14ac:dyDescent="0.35">
      <c r="A285">
        <v>284</v>
      </c>
      <c r="B285" t="s">
        <v>18</v>
      </c>
      <c r="C285" t="s">
        <v>13</v>
      </c>
      <c r="D285" t="s">
        <v>19</v>
      </c>
      <c r="E285" t="str">
        <f>IF(logistics_classification_dataset__1[[#This Row],[Shipment_Type]]="Kara","Road",IF(logistics_classification_dataset__1[[#This Row],[Shipment_Type]]="Hava","Air",IF(logistics_classification_dataset__1[[#This Row],[Shipment_Type]]="Deniz","Sea")))</f>
        <v>Sea</v>
      </c>
      <c r="F285">
        <v>180.8</v>
      </c>
      <c r="G285" t="str">
        <f t="shared" si="8"/>
        <v>0–500</v>
      </c>
      <c r="H285" s="1">
        <v>611.6</v>
      </c>
      <c r="I285" t="str">
        <f t="shared" si="9"/>
        <v>501–1000</v>
      </c>
      <c r="J285" t="s">
        <v>11</v>
      </c>
      <c r="K285" t="str">
        <f>IF(logistics_classification_dataset__1[[#This Row],[Customer_Segment]]="Bireysel","Individual",IF(logistics_classification_dataset__1[[#This Row],[Customer_Segment]]="Kurumsal","Corporate"))</f>
        <v>Individual</v>
      </c>
      <c r="L285">
        <v>1</v>
      </c>
    </row>
    <row r="286" spans="1:12" x14ac:dyDescent="0.35">
      <c r="A286">
        <v>285</v>
      </c>
      <c r="B286" t="s">
        <v>21</v>
      </c>
      <c r="C286" t="s">
        <v>16</v>
      </c>
      <c r="D286" t="s">
        <v>10</v>
      </c>
      <c r="E286" t="str">
        <f>IF(logistics_classification_dataset__1[[#This Row],[Shipment_Type]]="Kara","Road",IF(logistics_classification_dataset__1[[#This Row],[Shipment_Type]]="Hava","Air",IF(logistics_classification_dataset__1[[#This Row],[Shipment_Type]]="Deniz","Sea")))</f>
        <v>Road</v>
      </c>
      <c r="F286">
        <v>1692.47</v>
      </c>
      <c r="G286" t="str">
        <f t="shared" si="8"/>
        <v>1501–2000</v>
      </c>
      <c r="H286" s="1">
        <v>1134.8</v>
      </c>
      <c r="I286" t="str">
        <f t="shared" si="9"/>
        <v>1001–1500</v>
      </c>
      <c r="J286" t="s">
        <v>11</v>
      </c>
      <c r="K286" t="str">
        <f>IF(logistics_classification_dataset__1[[#This Row],[Customer_Segment]]="Bireysel","Individual",IF(logistics_classification_dataset__1[[#This Row],[Customer_Segment]]="Kurumsal","Corporate"))</f>
        <v>Individual</v>
      </c>
      <c r="L286">
        <v>1</v>
      </c>
    </row>
    <row r="287" spans="1:12" x14ac:dyDescent="0.35">
      <c r="A287">
        <v>286</v>
      </c>
      <c r="B287" t="s">
        <v>13</v>
      </c>
      <c r="C287" t="s">
        <v>9</v>
      </c>
      <c r="D287" t="s">
        <v>10</v>
      </c>
      <c r="E287" t="str">
        <f>IF(logistics_classification_dataset__1[[#This Row],[Shipment_Type]]="Kara","Road",IF(logistics_classification_dataset__1[[#This Row],[Shipment_Type]]="Hava","Air",IF(logistics_classification_dataset__1[[#This Row],[Shipment_Type]]="Deniz","Sea")))</f>
        <v>Road</v>
      </c>
      <c r="F287">
        <v>804.88</v>
      </c>
      <c r="G287" t="str">
        <f t="shared" si="8"/>
        <v>501–1000</v>
      </c>
      <c r="H287" s="1">
        <v>106.9</v>
      </c>
      <c r="I287" t="str">
        <f t="shared" si="9"/>
        <v>0–500</v>
      </c>
      <c r="J287" t="s">
        <v>14</v>
      </c>
      <c r="K287" t="str">
        <f>IF(logistics_classification_dataset__1[[#This Row],[Customer_Segment]]="Bireysel","Individual",IF(logistics_classification_dataset__1[[#This Row],[Customer_Segment]]="Kurumsal","Corporate"))</f>
        <v>Corporate</v>
      </c>
      <c r="L287">
        <v>1</v>
      </c>
    </row>
    <row r="288" spans="1:12" x14ac:dyDescent="0.35">
      <c r="A288">
        <v>287</v>
      </c>
      <c r="B288" t="s">
        <v>22</v>
      </c>
      <c r="C288" t="s">
        <v>8</v>
      </c>
      <c r="D288" t="s">
        <v>10</v>
      </c>
      <c r="E288" t="str">
        <f>IF(logistics_classification_dataset__1[[#This Row],[Shipment_Type]]="Kara","Road",IF(logistics_classification_dataset__1[[#This Row],[Shipment_Type]]="Hava","Air",IF(logistics_classification_dataset__1[[#This Row],[Shipment_Type]]="Deniz","Sea")))</f>
        <v>Road</v>
      </c>
      <c r="F288">
        <v>152.74</v>
      </c>
      <c r="G288" t="str">
        <f t="shared" si="8"/>
        <v>0–500</v>
      </c>
      <c r="H288" s="1">
        <v>1819.1</v>
      </c>
      <c r="I288" t="str">
        <f t="shared" si="9"/>
        <v>1501–2000</v>
      </c>
      <c r="J288" t="s">
        <v>11</v>
      </c>
      <c r="K288" t="str">
        <f>IF(logistics_classification_dataset__1[[#This Row],[Customer_Segment]]="Bireysel","Individual",IF(logistics_classification_dataset__1[[#This Row],[Customer_Segment]]="Kurumsal","Corporate"))</f>
        <v>Individual</v>
      </c>
      <c r="L288">
        <v>1</v>
      </c>
    </row>
    <row r="289" spans="1:12" x14ac:dyDescent="0.35">
      <c r="A289">
        <v>288</v>
      </c>
      <c r="B289" t="s">
        <v>16</v>
      </c>
      <c r="C289" t="s">
        <v>20</v>
      </c>
      <c r="D289" t="s">
        <v>10</v>
      </c>
      <c r="E289" t="str">
        <f>IF(logistics_classification_dataset__1[[#This Row],[Shipment_Type]]="Kara","Road",IF(logistics_classification_dataset__1[[#This Row],[Shipment_Type]]="Hava","Air",IF(logistics_classification_dataset__1[[#This Row],[Shipment_Type]]="Deniz","Sea")))</f>
        <v>Road</v>
      </c>
      <c r="F289">
        <v>1647.21</v>
      </c>
      <c r="G289" t="str">
        <f t="shared" si="8"/>
        <v>1501–2000</v>
      </c>
      <c r="H289" s="1">
        <v>354.8</v>
      </c>
      <c r="I289" t="str">
        <f t="shared" si="9"/>
        <v>0–500</v>
      </c>
      <c r="J289" t="s">
        <v>11</v>
      </c>
      <c r="K289" t="str">
        <f>IF(logistics_classification_dataset__1[[#This Row],[Customer_Segment]]="Bireysel","Individual",IF(logistics_classification_dataset__1[[#This Row],[Customer_Segment]]="Kurumsal","Corporate"))</f>
        <v>Individual</v>
      </c>
      <c r="L289">
        <v>1</v>
      </c>
    </row>
    <row r="290" spans="1:12" x14ac:dyDescent="0.35">
      <c r="A290">
        <v>289</v>
      </c>
      <c r="B290" t="s">
        <v>9</v>
      </c>
      <c r="C290" t="s">
        <v>21</v>
      </c>
      <c r="D290" t="s">
        <v>15</v>
      </c>
      <c r="E290" t="str">
        <f>IF(logistics_classification_dataset__1[[#This Row],[Shipment_Type]]="Kara","Road",IF(logistics_classification_dataset__1[[#This Row],[Shipment_Type]]="Hava","Air",IF(logistics_classification_dataset__1[[#This Row],[Shipment_Type]]="Deniz","Sea")))</f>
        <v>Air</v>
      </c>
      <c r="F290">
        <v>1778.33</v>
      </c>
      <c r="G290" t="str">
        <f t="shared" si="8"/>
        <v>1501–2000</v>
      </c>
      <c r="H290" s="1">
        <v>479.2</v>
      </c>
      <c r="I290" t="str">
        <f t="shared" si="9"/>
        <v>0–500</v>
      </c>
      <c r="J290" t="s">
        <v>14</v>
      </c>
      <c r="K290" t="str">
        <f>IF(logistics_classification_dataset__1[[#This Row],[Customer_Segment]]="Bireysel","Individual",IF(logistics_classification_dataset__1[[#This Row],[Customer_Segment]]="Kurumsal","Corporate"))</f>
        <v>Corporate</v>
      </c>
      <c r="L290">
        <v>1</v>
      </c>
    </row>
    <row r="291" spans="1:12" x14ac:dyDescent="0.35">
      <c r="A291">
        <v>290</v>
      </c>
      <c r="B291" t="s">
        <v>9</v>
      </c>
      <c r="C291" t="s">
        <v>21</v>
      </c>
      <c r="D291" t="s">
        <v>15</v>
      </c>
      <c r="E291" t="str">
        <f>IF(logistics_classification_dataset__1[[#This Row],[Shipment_Type]]="Kara","Road",IF(logistics_classification_dataset__1[[#This Row],[Shipment_Type]]="Hava","Air",IF(logistics_classification_dataset__1[[#This Row],[Shipment_Type]]="Deniz","Sea")))</f>
        <v>Air</v>
      </c>
      <c r="F291">
        <v>1091.29</v>
      </c>
      <c r="G291" t="str">
        <f t="shared" si="8"/>
        <v>1001–1500</v>
      </c>
      <c r="H291" s="1">
        <v>1060.5999999999999</v>
      </c>
      <c r="I291" t="str">
        <f t="shared" si="9"/>
        <v>1001–1500</v>
      </c>
      <c r="J291" t="s">
        <v>11</v>
      </c>
      <c r="K291" t="str">
        <f>IF(logistics_classification_dataset__1[[#This Row],[Customer_Segment]]="Bireysel","Individual",IF(logistics_classification_dataset__1[[#This Row],[Customer_Segment]]="Kurumsal","Corporate"))</f>
        <v>Individual</v>
      </c>
      <c r="L291">
        <v>1</v>
      </c>
    </row>
    <row r="292" spans="1:12" x14ac:dyDescent="0.35">
      <c r="A292">
        <v>291</v>
      </c>
      <c r="B292" t="s">
        <v>16</v>
      </c>
      <c r="C292" t="s">
        <v>13</v>
      </c>
      <c r="D292" t="s">
        <v>15</v>
      </c>
      <c r="E292" t="str">
        <f>IF(logistics_classification_dataset__1[[#This Row],[Shipment_Type]]="Kara","Road",IF(logistics_classification_dataset__1[[#This Row],[Shipment_Type]]="Hava","Air",IF(logistics_classification_dataset__1[[#This Row],[Shipment_Type]]="Deniz","Sea")))</f>
        <v>Air</v>
      </c>
      <c r="F292">
        <v>41.29</v>
      </c>
      <c r="G292" t="str">
        <f t="shared" si="8"/>
        <v>0–500</v>
      </c>
      <c r="H292" s="1">
        <v>1434.7</v>
      </c>
      <c r="I292" t="str">
        <f t="shared" si="9"/>
        <v>1001–1500</v>
      </c>
      <c r="J292" t="s">
        <v>11</v>
      </c>
      <c r="K292" t="str">
        <f>IF(logistics_classification_dataset__1[[#This Row],[Customer_Segment]]="Bireysel","Individual",IF(logistics_classification_dataset__1[[#This Row],[Customer_Segment]]="Kurumsal","Corporate"))</f>
        <v>Individual</v>
      </c>
      <c r="L292">
        <v>1</v>
      </c>
    </row>
    <row r="293" spans="1:12" x14ac:dyDescent="0.35">
      <c r="A293">
        <v>292</v>
      </c>
      <c r="B293" t="s">
        <v>18</v>
      </c>
      <c r="C293" t="s">
        <v>20</v>
      </c>
      <c r="D293" t="s">
        <v>10</v>
      </c>
      <c r="E293" t="str">
        <f>IF(logistics_classification_dataset__1[[#This Row],[Shipment_Type]]="Kara","Road",IF(logistics_classification_dataset__1[[#This Row],[Shipment_Type]]="Hava","Air",IF(logistics_classification_dataset__1[[#This Row],[Shipment_Type]]="Deniz","Sea")))</f>
        <v>Road</v>
      </c>
      <c r="F293">
        <v>514.34</v>
      </c>
      <c r="G293" t="str">
        <f t="shared" si="8"/>
        <v>501–1000</v>
      </c>
      <c r="H293" s="1">
        <v>236.7</v>
      </c>
      <c r="I293" t="str">
        <f t="shared" si="9"/>
        <v>0–500</v>
      </c>
      <c r="J293" t="s">
        <v>14</v>
      </c>
      <c r="K293" t="str">
        <f>IF(logistics_classification_dataset__1[[#This Row],[Customer_Segment]]="Bireysel","Individual",IF(logistics_classification_dataset__1[[#This Row],[Customer_Segment]]="Kurumsal","Corporate"))</f>
        <v>Corporate</v>
      </c>
      <c r="L293">
        <v>1</v>
      </c>
    </row>
    <row r="294" spans="1:12" x14ac:dyDescent="0.35">
      <c r="A294">
        <v>293</v>
      </c>
      <c r="B294" t="s">
        <v>12</v>
      </c>
      <c r="C294" t="s">
        <v>22</v>
      </c>
      <c r="D294" t="s">
        <v>10</v>
      </c>
      <c r="E294" t="str">
        <f>IF(logistics_classification_dataset__1[[#This Row],[Shipment_Type]]="Kara","Road",IF(logistics_classification_dataset__1[[#This Row],[Shipment_Type]]="Hava","Air",IF(logistics_classification_dataset__1[[#This Row],[Shipment_Type]]="Deniz","Sea")))</f>
        <v>Road</v>
      </c>
      <c r="F294">
        <v>594.91</v>
      </c>
      <c r="G294" t="str">
        <f t="shared" si="8"/>
        <v>501–1000</v>
      </c>
      <c r="H294" s="1">
        <v>669.5</v>
      </c>
      <c r="I294" t="str">
        <f t="shared" si="9"/>
        <v>501–1000</v>
      </c>
      <c r="J294" t="s">
        <v>14</v>
      </c>
      <c r="K294" t="str">
        <f>IF(logistics_classification_dataset__1[[#This Row],[Customer_Segment]]="Bireysel","Individual",IF(logistics_classification_dataset__1[[#This Row],[Customer_Segment]]="Kurumsal","Corporate"))</f>
        <v>Corporate</v>
      </c>
      <c r="L294">
        <v>1</v>
      </c>
    </row>
    <row r="295" spans="1:12" x14ac:dyDescent="0.35">
      <c r="A295">
        <v>294</v>
      </c>
      <c r="B295" t="s">
        <v>18</v>
      </c>
      <c r="C295" t="s">
        <v>20</v>
      </c>
      <c r="D295" t="s">
        <v>10</v>
      </c>
      <c r="E295" t="str">
        <f>IF(logistics_classification_dataset__1[[#This Row],[Shipment_Type]]="Kara","Road",IF(logistics_classification_dataset__1[[#This Row],[Shipment_Type]]="Hava","Air",IF(logistics_classification_dataset__1[[#This Row],[Shipment_Type]]="Deniz","Sea")))</f>
        <v>Road</v>
      </c>
      <c r="F295">
        <v>1189.6400000000001</v>
      </c>
      <c r="G295" t="str">
        <f t="shared" si="8"/>
        <v>1001–1500</v>
      </c>
      <c r="H295" s="1">
        <v>1938.9</v>
      </c>
      <c r="I295" t="str">
        <f t="shared" si="9"/>
        <v>1501–2000</v>
      </c>
      <c r="J295" t="s">
        <v>11</v>
      </c>
      <c r="K295" t="str">
        <f>IF(logistics_classification_dataset__1[[#This Row],[Customer_Segment]]="Bireysel","Individual",IF(logistics_classification_dataset__1[[#This Row],[Customer_Segment]]="Kurumsal","Corporate"))</f>
        <v>Individual</v>
      </c>
      <c r="L295">
        <v>1</v>
      </c>
    </row>
    <row r="296" spans="1:12" x14ac:dyDescent="0.35">
      <c r="A296">
        <v>295</v>
      </c>
      <c r="B296" t="s">
        <v>9</v>
      </c>
      <c r="C296" t="s">
        <v>17</v>
      </c>
      <c r="D296" t="s">
        <v>10</v>
      </c>
      <c r="E296" t="str">
        <f>IF(logistics_classification_dataset__1[[#This Row],[Shipment_Type]]="Kara","Road",IF(logistics_classification_dataset__1[[#This Row],[Shipment_Type]]="Hava","Air",IF(logistics_classification_dataset__1[[#This Row],[Shipment_Type]]="Deniz","Sea")))</f>
        <v>Road</v>
      </c>
      <c r="F296">
        <v>70.459999999999994</v>
      </c>
      <c r="G296" t="str">
        <f t="shared" si="8"/>
        <v>0–500</v>
      </c>
      <c r="H296" s="1">
        <v>561.6</v>
      </c>
      <c r="I296" t="str">
        <f t="shared" si="9"/>
        <v>501–1000</v>
      </c>
      <c r="J296" t="s">
        <v>11</v>
      </c>
      <c r="K296" t="str">
        <f>IF(logistics_classification_dataset__1[[#This Row],[Customer_Segment]]="Bireysel","Individual",IF(logistics_classification_dataset__1[[#This Row],[Customer_Segment]]="Kurumsal","Corporate"))</f>
        <v>Individual</v>
      </c>
      <c r="L296">
        <v>0</v>
      </c>
    </row>
    <row r="297" spans="1:12" x14ac:dyDescent="0.35">
      <c r="A297">
        <v>296</v>
      </c>
      <c r="B297" t="s">
        <v>9</v>
      </c>
      <c r="C297" t="s">
        <v>20</v>
      </c>
      <c r="D297" t="s">
        <v>15</v>
      </c>
      <c r="E297" t="str">
        <f>IF(logistics_classification_dataset__1[[#This Row],[Shipment_Type]]="Kara","Road",IF(logistics_classification_dataset__1[[#This Row],[Shipment_Type]]="Hava","Air",IF(logistics_classification_dataset__1[[#This Row],[Shipment_Type]]="Deniz","Sea")))</f>
        <v>Air</v>
      </c>
      <c r="F297">
        <v>127.39</v>
      </c>
      <c r="G297" t="str">
        <f t="shared" si="8"/>
        <v>0–500</v>
      </c>
      <c r="H297" s="1">
        <v>660.4</v>
      </c>
      <c r="I297" t="str">
        <f t="shared" si="9"/>
        <v>501–1000</v>
      </c>
      <c r="J297" t="s">
        <v>11</v>
      </c>
      <c r="K297" t="str">
        <f>IF(logistics_classification_dataset__1[[#This Row],[Customer_Segment]]="Bireysel","Individual",IF(logistics_classification_dataset__1[[#This Row],[Customer_Segment]]="Kurumsal","Corporate"))</f>
        <v>Individual</v>
      </c>
      <c r="L297">
        <v>1</v>
      </c>
    </row>
    <row r="298" spans="1:12" x14ac:dyDescent="0.35">
      <c r="A298">
        <v>297</v>
      </c>
      <c r="B298" t="s">
        <v>16</v>
      </c>
      <c r="C298" t="s">
        <v>17</v>
      </c>
      <c r="D298" t="s">
        <v>10</v>
      </c>
      <c r="E298" t="str">
        <f>IF(logistics_classification_dataset__1[[#This Row],[Shipment_Type]]="Kara","Road",IF(logistics_classification_dataset__1[[#This Row],[Shipment_Type]]="Hava","Air",IF(logistics_classification_dataset__1[[#This Row],[Shipment_Type]]="Deniz","Sea")))</f>
        <v>Road</v>
      </c>
      <c r="F298">
        <v>731.89</v>
      </c>
      <c r="G298" t="str">
        <f t="shared" si="8"/>
        <v>501–1000</v>
      </c>
      <c r="H298" s="1">
        <v>1681.2</v>
      </c>
      <c r="I298" t="str">
        <f t="shared" si="9"/>
        <v>1501–2000</v>
      </c>
      <c r="J298" t="s">
        <v>11</v>
      </c>
      <c r="K298" t="str">
        <f>IF(logistics_classification_dataset__1[[#This Row],[Customer_Segment]]="Bireysel","Individual",IF(logistics_classification_dataset__1[[#This Row],[Customer_Segment]]="Kurumsal","Corporate"))</f>
        <v>Individual</v>
      </c>
      <c r="L298">
        <v>1</v>
      </c>
    </row>
    <row r="299" spans="1:12" x14ac:dyDescent="0.35">
      <c r="A299">
        <v>298</v>
      </c>
      <c r="B299" t="s">
        <v>21</v>
      </c>
      <c r="C299" t="s">
        <v>17</v>
      </c>
      <c r="D299" t="s">
        <v>10</v>
      </c>
      <c r="E299" t="str">
        <f>IF(logistics_classification_dataset__1[[#This Row],[Shipment_Type]]="Kara","Road",IF(logistics_classification_dataset__1[[#This Row],[Shipment_Type]]="Hava","Air",IF(logistics_classification_dataset__1[[#This Row],[Shipment_Type]]="Deniz","Sea")))</f>
        <v>Road</v>
      </c>
      <c r="F299">
        <v>594.01</v>
      </c>
      <c r="G299" t="str">
        <f t="shared" si="8"/>
        <v>501–1000</v>
      </c>
      <c r="H299" s="1">
        <v>147.9</v>
      </c>
      <c r="I299" t="str">
        <f t="shared" si="9"/>
        <v>0–500</v>
      </c>
      <c r="J299" t="s">
        <v>11</v>
      </c>
      <c r="K299" t="str">
        <f>IF(logistics_classification_dataset__1[[#This Row],[Customer_Segment]]="Bireysel","Individual",IF(logistics_classification_dataset__1[[#This Row],[Customer_Segment]]="Kurumsal","Corporate"))</f>
        <v>Individual</v>
      </c>
      <c r="L299">
        <v>1</v>
      </c>
    </row>
    <row r="300" spans="1:12" x14ac:dyDescent="0.35">
      <c r="A300">
        <v>299</v>
      </c>
      <c r="B300" t="s">
        <v>18</v>
      </c>
      <c r="C300" t="s">
        <v>8</v>
      </c>
      <c r="D300" t="s">
        <v>10</v>
      </c>
      <c r="E300" t="str">
        <f>IF(logistics_classification_dataset__1[[#This Row],[Shipment_Type]]="Kara","Road",IF(logistics_classification_dataset__1[[#This Row],[Shipment_Type]]="Hava","Air",IF(logistics_classification_dataset__1[[#This Row],[Shipment_Type]]="Deniz","Sea")))</f>
        <v>Road</v>
      </c>
      <c r="F300">
        <v>175.96</v>
      </c>
      <c r="G300" t="str">
        <f t="shared" si="8"/>
        <v>0–500</v>
      </c>
      <c r="H300" s="1">
        <v>956</v>
      </c>
      <c r="I300" t="str">
        <f t="shared" si="9"/>
        <v>501–1000</v>
      </c>
      <c r="J300" t="s">
        <v>11</v>
      </c>
      <c r="K300" t="str">
        <f>IF(logistics_classification_dataset__1[[#This Row],[Customer_Segment]]="Bireysel","Individual",IF(logistics_classification_dataset__1[[#This Row],[Customer_Segment]]="Kurumsal","Corporate"))</f>
        <v>Individual</v>
      </c>
      <c r="L300">
        <v>1</v>
      </c>
    </row>
    <row r="301" spans="1:12" x14ac:dyDescent="0.35">
      <c r="A301">
        <v>300</v>
      </c>
      <c r="B301" t="s">
        <v>20</v>
      </c>
      <c r="C301" t="s">
        <v>9</v>
      </c>
      <c r="D301" t="s">
        <v>15</v>
      </c>
      <c r="E301" t="str">
        <f>IF(logistics_classification_dataset__1[[#This Row],[Shipment_Type]]="Kara","Road",IF(logistics_classification_dataset__1[[#This Row],[Shipment_Type]]="Hava","Air",IF(logistics_classification_dataset__1[[#This Row],[Shipment_Type]]="Deniz","Sea")))</f>
        <v>Air</v>
      </c>
      <c r="F301">
        <v>92.27</v>
      </c>
      <c r="G301" t="str">
        <f t="shared" si="8"/>
        <v>0–500</v>
      </c>
      <c r="H301" s="1">
        <v>790.3</v>
      </c>
      <c r="I301" t="str">
        <f t="shared" si="9"/>
        <v>501–1000</v>
      </c>
      <c r="J301" t="s">
        <v>11</v>
      </c>
      <c r="K301" t="str">
        <f>IF(logistics_classification_dataset__1[[#This Row],[Customer_Segment]]="Bireysel","Individual",IF(logistics_classification_dataset__1[[#This Row],[Customer_Segment]]="Kurumsal","Corporate"))</f>
        <v>Individual</v>
      </c>
      <c r="L301">
        <v>1</v>
      </c>
    </row>
    <row r="302" spans="1:12" x14ac:dyDescent="0.35">
      <c r="A302">
        <v>301</v>
      </c>
      <c r="B302" t="s">
        <v>16</v>
      </c>
      <c r="C302" t="s">
        <v>8</v>
      </c>
      <c r="D302" t="s">
        <v>15</v>
      </c>
      <c r="E302" t="str">
        <f>IF(logistics_classification_dataset__1[[#This Row],[Shipment_Type]]="Kara","Road",IF(logistics_classification_dataset__1[[#This Row],[Shipment_Type]]="Hava","Air",IF(logistics_classification_dataset__1[[#This Row],[Shipment_Type]]="Deniz","Sea")))</f>
        <v>Air</v>
      </c>
      <c r="F302">
        <v>194.63</v>
      </c>
      <c r="G302" t="str">
        <f t="shared" si="8"/>
        <v>0–500</v>
      </c>
      <c r="H302" s="1">
        <v>667.3</v>
      </c>
      <c r="I302" t="str">
        <f t="shared" si="9"/>
        <v>501–1000</v>
      </c>
      <c r="J302" t="s">
        <v>11</v>
      </c>
      <c r="K302" t="str">
        <f>IF(logistics_classification_dataset__1[[#This Row],[Customer_Segment]]="Bireysel","Individual",IF(logistics_classification_dataset__1[[#This Row],[Customer_Segment]]="Kurumsal","Corporate"))</f>
        <v>Individual</v>
      </c>
      <c r="L302">
        <v>0</v>
      </c>
    </row>
    <row r="303" spans="1:12" x14ac:dyDescent="0.35">
      <c r="A303">
        <v>302</v>
      </c>
      <c r="B303" t="s">
        <v>13</v>
      </c>
      <c r="C303" t="s">
        <v>17</v>
      </c>
      <c r="D303" t="s">
        <v>15</v>
      </c>
      <c r="E303" t="str">
        <f>IF(logistics_classification_dataset__1[[#This Row],[Shipment_Type]]="Kara","Road",IF(logistics_classification_dataset__1[[#This Row],[Shipment_Type]]="Hava","Air",IF(logistics_classification_dataset__1[[#This Row],[Shipment_Type]]="Deniz","Sea")))</f>
        <v>Air</v>
      </c>
      <c r="F303">
        <v>1654.36</v>
      </c>
      <c r="G303" t="str">
        <f t="shared" si="8"/>
        <v>1501–2000</v>
      </c>
      <c r="H303" s="1">
        <v>607.1</v>
      </c>
      <c r="I303" t="str">
        <f t="shared" si="9"/>
        <v>501–1000</v>
      </c>
      <c r="J303" t="s">
        <v>11</v>
      </c>
      <c r="K303" t="str">
        <f>IF(logistics_classification_dataset__1[[#This Row],[Customer_Segment]]="Bireysel","Individual",IF(logistics_classification_dataset__1[[#This Row],[Customer_Segment]]="Kurumsal","Corporate"))</f>
        <v>Individual</v>
      </c>
      <c r="L303">
        <v>0</v>
      </c>
    </row>
    <row r="304" spans="1:12" x14ac:dyDescent="0.35">
      <c r="A304">
        <v>303</v>
      </c>
      <c r="B304" t="s">
        <v>9</v>
      </c>
      <c r="C304" t="s">
        <v>16</v>
      </c>
      <c r="D304" t="s">
        <v>10</v>
      </c>
      <c r="E304" t="str">
        <f>IF(logistics_classification_dataset__1[[#This Row],[Shipment_Type]]="Kara","Road",IF(logistics_classification_dataset__1[[#This Row],[Shipment_Type]]="Hava","Air",IF(logistics_classification_dataset__1[[#This Row],[Shipment_Type]]="Deniz","Sea")))</f>
        <v>Road</v>
      </c>
      <c r="F304">
        <v>100.04</v>
      </c>
      <c r="G304" t="str">
        <f t="shared" si="8"/>
        <v>0–500</v>
      </c>
      <c r="H304" s="1">
        <v>228.2</v>
      </c>
      <c r="I304" t="str">
        <f t="shared" si="9"/>
        <v>0–500</v>
      </c>
      <c r="J304" t="s">
        <v>11</v>
      </c>
      <c r="K304" t="str">
        <f>IF(logistics_classification_dataset__1[[#This Row],[Customer_Segment]]="Bireysel","Individual",IF(logistics_classification_dataset__1[[#This Row],[Customer_Segment]]="Kurumsal","Corporate"))</f>
        <v>Individual</v>
      </c>
      <c r="L304">
        <v>1</v>
      </c>
    </row>
    <row r="305" spans="1:12" x14ac:dyDescent="0.35">
      <c r="A305">
        <v>304</v>
      </c>
      <c r="B305" t="s">
        <v>16</v>
      </c>
      <c r="C305" t="s">
        <v>21</v>
      </c>
      <c r="D305" t="s">
        <v>10</v>
      </c>
      <c r="E305" t="str">
        <f>IF(logistics_classification_dataset__1[[#This Row],[Shipment_Type]]="Kara","Road",IF(logistics_classification_dataset__1[[#This Row],[Shipment_Type]]="Hava","Air",IF(logistics_classification_dataset__1[[#This Row],[Shipment_Type]]="Deniz","Sea")))</f>
        <v>Road</v>
      </c>
      <c r="F305">
        <v>1454.86</v>
      </c>
      <c r="G305" t="str">
        <f t="shared" si="8"/>
        <v>1001–1500</v>
      </c>
      <c r="H305" s="1">
        <v>663.9</v>
      </c>
      <c r="I305" t="str">
        <f t="shared" si="9"/>
        <v>501–1000</v>
      </c>
      <c r="J305" t="s">
        <v>14</v>
      </c>
      <c r="K305" t="str">
        <f>IF(logistics_classification_dataset__1[[#This Row],[Customer_Segment]]="Bireysel","Individual",IF(logistics_classification_dataset__1[[#This Row],[Customer_Segment]]="Kurumsal","Corporate"))</f>
        <v>Corporate</v>
      </c>
      <c r="L305">
        <v>1</v>
      </c>
    </row>
    <row r="306" spans="1:12" x14ac:dyDescent="0.35">
      <c r="A306">
        <v>305</v>
      </c>
      <c r="B306" t="s">
        <v>18</v>
      </c>
      <c r="C306" t="s">
        <v>17</v>
      </c>
      <c r="D306" t="s">
        <v>15</v>
      </c>
      <c r="E306" t="str">
        <f>IF(logistics_classification_dataset__1[[#This Row],[Shipment_Type]]="Kara","Road",IF(logistics_classification_dataset__1[[#This Row],[Shipment_Type]]="Hava","Air",IF(logistics_classification_dataset__1[[#This Row],[Shipment_Type]]="Deniz","Sea")))</f>
        <v>Air</v>
      </c>
      <c r="F306">
        <v>1548.94</v>
      </c>
      <c r="G306" t="str">
        <f t="shared" si="8"/>
        <v>1501–2000</v>
      </c>
      <c r="H306" s="1">
        <v>134</v>
      </c>
      <c r="I306" t="str">
        <f t="shared" si="9"/>
        <v>0–500</v>
      </c>
      <c r="J306" t="s">
        <v>14</v>
      </c>
      <c r="K306" t="str">
        <f>IF(logistics_classification_dataset__1[[#This Row],[Customer_Segment]]="Bireysel","Individual",IF(logistics_classification_dataset__1[[#This Row],[Customer_Segment]]="Kurumsal","Corporate"))</f>
        <v>Corporate</v>
      </c>
      <c r="L306">
        <v>1</v>
      </c>
    </row>
    <row r="307" spans="1:12" x14ac:dyDescent="0.35">
      <c r="A307">
        <v>306</v>
      </c>
      <c r="B307" t="s">
        <v>9</v>
      </c>
      <c r="C307" t="s">
        <v>8</v>
      </c>
      <c r="D307" t="s">
        <v>15</v>
      </c>
      <c r="E307" t="str">
        <f>IF(logistics_classification_dataset__1[[#This Row],[Shipment_Type]]="Kara","Road",IF(logistics_classification_dataset__1[[#This Row],[Shipment_Type]]="Hava","Air",IF(logistics_classification_dataset__1[[#This Row],[Shipment_Type]]="Deniz","Sea")))</f>
        <v>Air</v>
      </c>
      <c r="F307">
        <v>708.44</v>
      </c>
      <c r="G307" t="str">
        <f t="shared" si="8"/>
        <v>501–1000</v>
      </c>
      <c r="H307" s="1">
        <v>1572.9</v>
      </c>
      <c r="I307" t="str">
        <f t="shared" si="9"/>
        <v>1501–2000</v>
      </c>
      <c r="J307" t="s">
        <v>11</v>
      </c>
      <c r="K307" t="str">
        <f>IF(logistics_classification_dataset__1[[#This Row],[Customer_Segment]]="Bireysel","Individual",IF(logistics_classification_dataset__1[[#This Row],[Customer_Segment]]="Kurumsal","Corporate"))</f>
        <v>Individual</v>
      </c>
      <c r="L307">
        <v>1</v>
      </c>
    </row>
    <row r="308" spans="1:12" x14ac:dyDescent="0.35">
      <c r="A308">
        <v>307</v>
      </c>
      <c r="B308" t="s">
        <v>12</v>
      </c>
      <c r="C308" t="s">
        <v>16</v>
      </c>
      <c r="D308" t="s">
        <v>10</v>
      </c>
      <c r="E308" t="str">
        <f>IF(logistics_classification_dataset__1[[#This Row],[Shipment_Type]]="Kara","Road",IF(logistics_classification_dataset__1[[#This Row],[Shipment_Type]]="Hava","Air",IF(logistics_classification_dataset__1[[#This Row],[Shipment_Type]]="Deniz","Sea")))</f>
        <v>Road</v>
      </c>
      <c r="F308">
        <v>1650.45</v>
      </c>
      <c r="G308" t="str">
        <f t="shared" si="8"/>
        <v>1501–2000</v>
      </c>
      <c r="H308" s="1">
        <v>826.5</v>
      </c>
      <c r="I308" t="str">
        <f t="shared" si="9"/>
        <v>501–1000</v>
      </c>
      <c r="J308" t="s">
        <v>11</v>
      </c>
      <c r="K308" t="str">
        <f>IF(logistics_classification_dataset__1[[#This Row],[Customer_Segment]]="Bireysel","Individual",IF(logistics_classification_dataset__1[[#This Row],[Customer_Segment]]="Kurumsal","Corporate"))</f>
        <v>Individual</v>
      </c>
      <c r="L308">
        <v>1</v>
      </c>
    </row>
    <row r="309" spans="1:12" x14ac:dyDescent="0.35">
      <c r="A309">
        <v>308</v>
      </c>
      <c r="B309" t="s">
        <v>16</v>
      </c>
      <c r="C309" t="s">
        <v>8</v>
      </c>
      <c r="D309" t="s">
        <v>15</v>
      </c>
      <c r="E309" t="str">
        <f>IF(logistics_classification_dataset__1[[#This Row],[Shipment_Type]]="Kara","Road",IF(logistics_classification_dataset__1[[#This Row],[Shipment_Type]]="Hava","Air",IF(logistics_classification_dataset__1[[#This Row],[Shipment_Type]]="Deniz","Sea")))</f>
        <v>Air</v>
      </c>
      <c r="F309">
        <v>1033.74</v>
      </c>
      <c r="G309" t="str">
        <f t="shared" si="8"/>
        <v>1001–1500</v>
      </c>
      <c r="H309" s="1">
        <v>915.6</v>
      </c>
      <c r="I309" t="str">
        <f t="shared" si="9"/>
        <v>501–1000</v>
      </c>
      <c r="J309" t="s">
        <v>11</v>
      </c>
      <c r="K309" t="str">
        <f>IF(logistics_classification_dataset__1[[#This Row],[Customer_Segment]]="Bireysel","Individual",IF(logistics_classification_dataset__1[[#This Row],[Customer_Segment]]="Kurumsal","Corporate"))</f>
        <v>Individual</v>
      </c>
      <c r="L309">
        <v>1</v>
      </c>
    </row>
    <row r="310" spans="1:12" x14ac:dyDescent="0.35">
      <c r="A310">
        <v>309</v>
      </c>
      <c r="B310" t="s">
        <v>8</v>
      </c>
      <c r="C310" t="s">
        <v>20</v>
      </c>
      <c r="D310" t="s">
        <v>15</v>
      </c>
      <c r="E310" t="str">
        <f>IF(logistics_classification_dataset__1[[#This Row],[Shipment_Type]]="Kara","Road",IF(logistics_classification_dataset__1[[#This Row],[Shipment_Type]]="Hava","Air",IF(logistics_classification_dataset__1[[#This Row],[Shipment_Type]]="Deniz","Sea")))</f>
        <v>Air</v>
      </c>
      <c r="F310">
        <v>929.27</v>
      </c>
      <c r="G310" t="str">
        <f t="shared" si="8"/>
        <v>501–1000</v>
      </c>
      <c r="H310" s="1">
        <v>1792.5</v>
      </c>
      <c r="I310" t="str">
        <f t="shared" si="9"/>
        <v>1501–2000</v>
      </c>
      <c r="J310" t="s">
        <v>11</v>
      </c>
      <c r="K310" t="str">
        <f>IF(logistics_classification_dataset__1[[#This Row],[Customer_Segment]]="Bireysel","Individual",IF(logistics_classification_dataset__1[[#This Row],[Customer_Segment]]="Kurumsal","Corporate"))</f>
        <v>Individual</v>
      </c>
      <c r="L310">
        <v>1</v>
      </c>
    </row>
    <row r="311" spans="1:12" x14ac:dyDescent="0.35">
      <c r="A311">
        <v>310</v>
      </c>
      <c r="B311" t="s">
        <v>9</v>
      </c>
      <c r="C311" t="s">
        <v>18</v>
      </c>
      <c r="D311" t="s">
        <v>15</v>
      </c>
      <c r="E311" t="str">
        <f>IF(logistics_classification_dataset__1[[#This Row],[Shipment_Type]]="Kara","Road",IF(logistics_classification_dataset__1[[#This Row],[Shipment_Type]]="Hava","Air",IF(logistics_classification_dataset__1[[#This Row],[Shipment_Type]]="Deniz","Sea")))</f>
        <v>Air</v>
      </c>
      <c r="F311">
        <v>95.58</v>
      </c>
      <c r="G311" t="str">
        <f t="shared" si="8"/>
        <v>0–500</v>
      </c>
      <c r="H311" s="1">
        <v>1333.2</v>
      </c>
      <c r="I311" t="str">
        <f t="shared" si="9"/>
        <v>1001–1500</v>
      </c>
      <c r="J311" t="s">
        <v>11</v>
      </c>
      <c r="K311" t="str">
        <f>IF(logistics_classification_dataset__1[[#This Row],[Customer_Segment]]="Bireysel","Individual",IF(logistics_classification_dataset__1[[#This Row],[Customer_Segment]]="Kurumsal","Corporate"))</f>
        <v>Individual</v>
      </c>
      <c r="L311">
        <v>1</v>
      </c>
    </row>
    <row r="312" spans="1:12" x14ac:dyDescent="0.35">
      <c r="A312">
        <v>311</v>
      </c>
      <c r="B312" t="s">
        <v>18</v>
      </c>
      <c r="C312" t="s">
        <v>13</v>
      </c>
      <c r="D312" t="s">
        <v>15</v>
      </c>
      <c r="E312" t="str">
        <f>IF(logistics_classification_dataset__1[[#This Row],[Shipment_Type]]="Kara","Road",IF(logistics_classification_dataset__1[[#This Row],[Shipment_Type]]="Hava","Air",IF(logistics_classification_dataset__1[[#This Row],[Shipment_Type]]="Deniz","Sea")))</f>
        <v>Air</v>
      </c>
      <c r="F312">
        <v>583.61</v>
      </c>
      <c r="G312" t="str">
        <f t="shared" si="8"/>
        <v>501–1000</v>
      </c>
      <c r="H312" s="1">
        <v>65.7</v>
      </c>
      <c r="I312" t="str">
        <f t="shared" si="9"/>
        <v>0–500</v>
      </c>
      <c r="J312" t="s">
        <v>11</v>
      </c>
      <c r="K312" t="str">
        <f>IF(logistics_classification_dataset__1[[#This Row],[Customer_Segment]]="Bireysel","Individual",IF(logistics_classification_dataset__1[[#This Row],[Customer_Segment]]="Kurumsal","Corporate"))</f>
        <v>Individual</v>
      </c>
      <c r="L312">
        <v>1</v>
      </c>
    </row>
    <row r="313" spans="1:12" x14ac:dyDescent="0.35">
      <c r="A313">
        <v>312</v>
      </c>
      <c r="B313" t="s">
        <v>22</v>
      </c>
      <c r="C313" t="s">
        <v>13</v>
      </c>
      <c r="D313" t="s">
        <v>10</v>
      </c>
      <c r="E313" t="str">
        <f>IF(logistics_classification_dataset__1[[#This Row],[Shipment_Type]]="Kara","Road",IF(logistics_classification_dataset__1[[#This Row],[Shipment_Type]]="Hava","Air",IF(logistics_classification_dataset__1[[#This Row],[Shipment_Type]]="Deniz","Sea")))</f>
        <v>Road</v>
      </c>
      <c r="F313">
        <v>1862.36</v>
      </c>
      <c r="G313" t="str">
        <f t="shared" si="8"/>
        <v>1501–2000</v>
      </c>
      <c r="H313" s="1">
        <v>1889.2</v>
      </c>
      <c r="I313" t="str">
        <f t="shared" si="9"/>
        <v>1501–2000</v>
      </c>
      <c r="J313" t="s">
        <v>11</v>
      </c>
      <c r="K313" t="str">
        <f>IF(logistics_classification_dataset__1[[#This Row],[Customer_Segment]]="Bireysel","Individual",IF(logistics_classification_dataset__1[[#This Row],[Customer_Segment]]="Kurumsal","Corporate"))</f>
        <v>Individual</v>
      </c>
      <c r="L313">
        <v>1</v>
      </c>
    </row>
    <row r="314" spans="1:12" x14ac:dyDescent="0.35">
      <c r="A314">
        <v>313</v>
      </c>
      <c r="B314" t="s">
        <v>20</v>
      </c>
      <c r="C314" t="s">
        <v>8</v>
      </c>
      <c r="D314" t="s">
        <v>10</v>
      </c>
      <c r="E314" t="str">
        <f>IF(logistics_classification_dataset__1[[#This Row],[Shipment_Type]]="Kara","Road",IF(logistics_classification_dataset__1[[#This Row],[Shipment_Type]]="Hava","Air",IF(logistics_classification_dataset__1[[#This Row],[Shipment_Type]]="Deniz","Sea")))</f>
        <v>Road</v>
      </c>
      <c r="F314">
        <v>786.69</v>
      </c>
      <c r="G314" t="str">
        <f t="shared" si="8"/>
        <v>501–1000</v>
      </c>
      <c r="H314" s="1">
        <v>512.4</v>
      </c>
      <c r="I314" t="str">
        <f t="shared" si="9"/>
        <v>501–1000</v>
      </c>
      <c r="J314" t="s">
        <v>14</v>
      </c>
      <c r="K314" t="str">
        <f>IF(logistics_classification_dataset__1[[#This Row],[Customer_Segment]]="Bireysel","Individual",IF(logistics_classification_dataset__1[[#This Row],[Customer_Segment]]="Kurumsal","Corporate"))</f>
        <v>Corporate</v>
      </c>
      <c r="L314">
        <v>0</v>
      </c>
    </row>
    <row r="315" spans="1:12" x14ac:dyDescent="0.35">
      <c r="A315">
        <v>314</v>
      </c>
      <c r="B315" t="s">
        <v>17</v>
      </c>
      <c r="C315" t="s">
        <v>22</v>
      </c>
      <c r="D315" t="s">
        <v>10</v>
      </c>
      <c r="E315" t="str">
        <f>IF(logistics_classification_dataset__1[[#This Row],[Shipment_Type]]="Kara","Road",IF(logistics_classification_dataset__1[[#This Row],[Shipment_Type]]="Hava","Air",IF(logistics_classification_dataset__1[[#This Row],[Shipment_Type]]="Deniz","Sea")))</f>
        <v>Road</v>
      </c>
      <c r="F315">
        <v>1095.67</v>
      </c>
      <c r="G315" t="str">
        <f t="shared" si="8"/>
        <v>1001–1500</v>
      </c>
      <c r="H315" s="1">
        <v>259.8</v>
      </c>
      <c r="I315" t="str">
        <f t="shared" si="9"/>
        <v>0–500</v>
      </c>
      <c r="J315" t="s">
        <v>11</v>
      </c>
      <c r="K315" t="str">
        <f>IF(logistics_classification_dataset__1[[#This Row],[Customer_Segment]]="Bireysel","Individual",IF(logistics_classification_dataset__1[[#This Row],[Customer_Segment]]="Kurumsal","Corporate"))</f>
        <v>Individual</v>
      </c>
      <c r="L315">
        <v>1</v>
      </c>
    </row>
    <row r="316" spans="1:12" x14ac:dyDescent="0.35">
      <c r="A316">
        <v>315</v>
      </c>
      <c r="B316" t="s">
        <v>21</v>
      </c>
      <c r="C316" t="s">
        <v>12</v>
      </c>
      <c r="D316" t="s">
        <v>15</v>
      </c>
      <c r="E316" t="str">
        <f>IF(logistics_classification_dataset__1[[#This Row],[Shipment_Type]]="Kara","Road",IF(logistics_classification_dataset__1[[#This Row],[Shipment_Type]]="Hava","Air",IF(logistics_classification_dataset__1[[#This Row],[Shipment_Type]]="Deniz","Sea")))</f>
        <v>Air</v>
      </c>
      <c r="F316">
        <v>1066.3800000000001</v>
      </c>
      <c r="G316" t="str">
        <f t="shared" si="8"/>
        <v>1001–1500</v>
      </c>
      <c r="H316" s="1">
        <v>1547.8</v>
      </c>
      <c r="I316" t="str">
        <f t="shared" si="9"/>
        <v>1501–2000</v>
      </c>
      <c r="J316" t="s">
        <v>11</v>
      </c>
      <c r="K316" t="str">
        <f>IF(logistics_classification_dataset__1[[#This Row],[Customer_Segment]]="Bireysel","Individual",IF(logistics_classification_dataset__1[[#This Row],[Customer_Segment]]="Kurumsal","Corporate"))</f>
        <v>Individual</v>
      </c>
      <c r="L316">
        <v>0</v>
      </c>
    </row>
    <row r="317" spans="1:12" x14ac:dyDescent="0.35">
      <c r="A317">
        <v>316</v>
      </c>
      <c r="B317" t="s">
        <v>17</v>
      </c>
      <c r="C317" t="s">
        <v>8</v>
      </c>
      <c r="D317" t="s">
        <v>15</v>
      </c>
      <c r="E317" t="str">
        <f>IF(logistics_classification_dataset__1[[#This Row],[Shipment_Type]]="Kara","Road",IF(logistics_classification_dataset__1[[#This Row],[Shipment_Type]]="Hava","Air",IF(logistics_classification_dataset__1[[#This Row],[Shipment_Type]]="Deniz","Sea")))</f>
        <v>Air</v>
      </c>
      <c r="F317">
        <v>1182.9100000000001</v>
      </c>
      <c r="G317" t="str">
        <f t="shared" si="8"/>
        <v>1001–1500</v>
      </c>
      <c r="H317" s="1">
        <v>1025.9000000000001</v>
      </c>
      <c r="I317" t="str">
        <f t="shared" si="9"/>
        <v>1001–1500</v>
      </c>
      <c r="J317" t="s">
        <v>14</v>
      </c>
      <c r="K317" t="str">
        <f>IF(logistics_classification_dataset__1[[#This Row],[Customer_Segment]]="Bireysel","Individual",IF(logistics_classification_dataset__1[[#This Row],[Customer_Segment]]="Kurumsal","Corporate"))</f>
        <v>Corporate</v>
      </c>
      <c r="L317">
        <v>1</v>
      </c>
    </row>
    <row r="318" spans="1:12" x14ac:dyDescent="0.35">
      <c r="A318">
        <v>317</v>
      </c>
      <c r="B318" t="s">
        <v>18</v>
      </c>
      <c r="C318" t="s">
        <v>20</v>
      </c>
      <c r="D318" t="s">
        <v>15</v>
      </c>
      <c r="E318" t="str">
        <f>IF(logistics_classification_dataset__1[[#This Row],[Shipment_Type]]="Kara","Road",IF(logistics_classification_dataset__1[[#This Row],[Shipment_Type]]="Hava","Air",IF(logistics_classification_dataset__1[[#This Row],[Shipment_Type]]="Deniz","Sea")))</f>
        <v>Air</v>
      </c>
      <c r="F318">
        <v>127.36</v>
      </c>
      <c r="G318" t="str">
        <f t="shared" si="8"/>
        <v>0–500</v>
      </c>
      <c r="H318" s="1">
        <v>895.9</v>
      </c>
      <c r="I318" t="str">
        <f t="shared" si="9"/>
        <v>501–1000</v>
      </c>
      <c r="J318" t="s">
        <v>11</v>
      </c>
      <c r="K318" t="str">
        <f>IF(logistics_classification_dataset__1[[#This Row],[Customer_Segment]]="Bireysel","Individual",IF(logistics_classification_dataset__1[[#This Row],[Customer_Segment]]="Kurumsal","Corporate"))</f>
        <v>Individual</v>
      </c>
      <c r="L318">
        <v>1</v>
      </c>
    </row>
    <row r="319" spans="1:12" x14ac:dyDescent="0.35">
      <c r="A319">
        <v>318</v>
      </c>
      <c r="B319" t="s">
        <v>13</v>
      </c>
      <c r="C319" t="s">
        <v>22</v>
      </c>
      <c r="D319" t="s">
        <v>10</v>
      </c>
      <c r="E319" t="str">
        <f>IF(logistics_classification_dataset__1[[#This Row],[Shipment_Type]]="Kara","Road",IF(logistics_classification_dataset__1[[#This Row],[Shipment_Type]]="Hava","Air",IF(logistics_classification_dataset__1[[#This Row],[Shipment_Type]]="Deniz","Sea")))</f>
        <v>Road</v>
      </c>
      <c r="F319">
        <v>727.54</v>
      </c>
      <c r="G319" t="str">
        <f t="shared" si="8"/>
        <v>501–1000</v>
      </c>
      <c r="H319" s="1">
        <v>536.5</v>
      </c>
      <c r="I319" t="str">
        <f t="shared" si="9"/>
        <v>501–1000</v>
      </c>
      <c r="J319" t="s">
        <v>11</v>
      </c>
      <c r="K319" t="str">
        <f>IF(logistics_classification_dataset__1[[#This Row],[Customer_Segment]]="Bireysel","Individual",IF(logistics_classification_dataset__1[[#This Row],[Customer_Segment]]="Kurumsal","Corporate"))</f>
        <v>Individual</v>
      </c>
      <c r="L319">
        <v>0</v>
      </c>
    </row>
    <row r="320" spans="1:12" x14ac:dyDescent="0.35">
      <c r="A320">
        <v>319</v>
      </c>
      <c r="B320" t="s">
        <v>13</v>
      </c>
      <c r="C320" t="s">
        <v>17</v>
      </c>
      <c r="D320" t="s">
        <v>15</v>
      </c>
      <c r="E320" t="str">
        <f>IF(logistics_classification_dataset__1[[#This Row],[Shipment_Type]]="Kara","Road",IF(logistics_classification_dataset__1[[#This Row],[Shipment_Type]]="Hava","Air",IF(logistics_classification_dataset__1[[#This Row],[Shipment_Type]]="Deniz","Sea")))</f>
        <v>Air</v>
      </c>
      <c r="F320">
        <v>1447.64</v>
      </c>
      <c r="G320" t="str">
        <f t="shared" si="8"/>
        <v>1001–1500</v>
      </c>
      <c r="H320" s="1">
        <v>1117.5999999999999</v>
      </c>
      <c r="I320" t="str">
        <f t="shared" si="9"/>
        <v>1001–1500</v>
      </c>
      <c r="J320" t="s">
        <v>11</v>
      </c>
      <c r="K320" t="str">
        <f>IF(logistics_classification_dataset__1[[#This Row],[Customer_Segment]]="Bireysel","Individual",IF(logistics_classification_dataset__1[[#This Row],[Customer_Segment]]="Kurumsal","Corporate"))</f>
        <v>Individual</v>
      </c>
      <c r="L320">
        <v>1</v>
      </c>
    </row>
    <row r="321" spans="1:12" x14ac:dyDescent="0.35">
      <c r="A321">
        <v>320</v>
      </c>
      <c r="B321" t="s">
        <v>22</v>
      </c>
      <c r="C321" t="s">
        <v>8</v>
      </c>
      <c r="D321" t="s">
        <v>15</v>
      </c>
      <c r="E321" t="str">
        <f>IF(logistics_classification_dataset__1[[#This Row],[Shipment_Type]]="Kara","Road",IF(logistics_classification_dataset__1[[#This Row],[Shipment_Type]]="Hava","Air",IF(logistics_classification_dataset__1[[#This Row],[Shipment_Type]]="Deniz","Sea")))</f>
        <v>Air</v>
      </c>
      <c r="F321">
        <v>405.12</v>
      </c>
      <c r="G321" t="str">
        <f t="shared" si="8"/>
        <v>0–500</v>
      </c>
      <c r="H321" s="1">
        <v>585</v>
      </c>
      <c r="I321" t="str">
        <f t="shared" si="9"/>
        <v>501–1000</v>
      </c>
      <c r="J321" t="s">
        <v>11</v>
      </c>
      <c r="K321" t="str">
        <f>IF(logistics_classification_dataset__1[[#This Row],[Customer_Segment]]="Bireysel","Individual",IF(logistics_classification_dataset__1[[#This Row],[Customer_Segment]]="Kurumsal","Corporate"))</f>
        <v>Individual</v>
      </c>
      <c r="L321">
        <v>1</v>
      </c>
    </row>
    <row r="322" spans="1:12" x14ac:dyDescent="0.35">
      <c r="A322">
        <v>321</v>
      </c>
      <c r="B322" t="s">
        <v>21</v>
      </c>
      <c r="C322" t="s">
        <v>9</v>
      </c>
      <c r="D322" t="s">
        <v>15</v>
      </c>
      <c r="E322" t="str">
        <f>IF(logistics_classification_dataset__1[[#This Row],[Shipment_Type]]="Kara","Road",IF(logistics_classification_dataset__1[[#This Row],[Shipment_Type]]="Hava","Air",IF(logistics_classification_dataset__1[[#This Row],[Shipment_Type]]="Deniz","Sea")))</f>
        <v>Air</v>
      </c>
      <c r="F322">
        <v>411.14</v>
      </c>
      <c r="G322" t="str">
        <f t="shared" ref="G322:G385" si="10">IF(F322&lt;=500,"0–500",IF(F322&lt;=1000,"501–1000",IF(F322&lt;=1500,"1001–1500","1501–2000")))</f>
        <v>0–500</v>
      </c>
      <c r="H322" s="1">
        <v>1808.1</v>
      </c>
      <c r="I322" t="str">
        <f t="shared" ref="I322:I385" si="11">IF(H322&lt;=500,"0–500",IF(H322&lt;=1000,"501–1000",IF(H322&lt;=1500,"1001–1500",IF(H322&lt;=2000,"1501–2000","&gt;2000"))))</f>
        <v>1501–2000</v>
      </c>
      <c r="J322" t="s">
        <v>14</v>
      </c>
      <c r="K322" t="str">
        <f>IF(logistics_classification_dataset__1[[#This Row],[Customer_Segment]]="Bireysel","Individual",IF(logistics_classification_dataset__1[[#This Row],[Customer_Segment]]="Kurumsal","Corporate"))</f>
        <v>Corporate</v>
      </c>
      <c r="L322">
        <v>1</v>
      </c>
    </row>
    <row r="323" spans="1:12" x14ac:dyDescent="0.35">
      <c r="A323">
        <v>322</v>
      </c>
      <c r="B323" t="s">
        <v>8</v>
      </c>
      <c r="C323" t="s">
        <v>13</v>
      </c>
      <c r="D323" t="s">
        <v>15</v>
      </c>
      <c r="E323" t="str">
        <f>IF(logistics_classification_dataset__1[[#This Row],[Shipment_Type]]="Kara","Road",IF(logistics_classification_dataset__1[[#This Row],[Shipment_Type]]="Hava","Air",IF(logistics_classification_dataset__1[[#This Row],[Shipment_Type]]="Deniz","Sea")))</f>
        <v>Air</v>
      </c>
      <c r="F323">
        <v>25.13</v>
      </c>
      <c r="G323" t="str">
        <f t="shared" si="10"/>
        <v>0–500</v>
      </c>
      <c r="H323" s="1">
        <v>469.6</v>
      </c>
      <c r="I323" t="str">
        <f t="shared" si="11"/>
        <v>0–500</v>
      </c>
      <c r="J323" t="s">
        <v>11</v>
      </c>
      <c r="K323" t="str">
        <f>IF(logistics_classification_dataset__1[[#This Row],[Customer_Segment]]="Bireysel","Individual",IF(logistics_classification_dataset__1[[#This Row],[Customer_Segment]]="Kurumsal","Corporate"))</f>
        <v>Individual</v>
      </c>
      <c r="L323">
        <v>1</v>
      </c>
    </row>
    <row r="324" spans="1:12" x14ac:dyDescent="0.35">
      <c r="A324">
        <v>323</v>
      </c>
      <c r="B324" t="s">
        <v>22</v>
      </c>
      <c r="C324" t="s">
        <v>18</v>
      </c>
      <c r="D324" t="s">
        <v>15</v>
      </c>
      <c r="E324" t="str">
        <f>IF(logistics_classification_dataset__1[[#This Row],[Shipment_Type]]="Kara","Road",IF(logistics_classification_dataset__1[[#This Row],[Shipment_Type]]="Hava","Air",IF(logistics_classification_dataset__1[[#This Row],[Shipment_Type]]="Deniz","Sea")))</f>
        <v>Air</v>
      </c>
      <c r="F324">
        <v>877.78</v>
      </c>
      <c r="G324" t="str">
        <f t="shared" si="10"/>
        <v>501–1000</v>
      </c>
      <c r="H324" s="1">
        <v>1774.5</v>
      </c>
      <c r="I324" t="str">
        <f t="shared" si="11"/>
        <v>1501–2000</v>
      </c>
      <c r="J324" t="s">
        <v>11</v>
      </c>
      <c r="K324" t="str">
        <f>IF(logistics_classification_dataset__1[[#This Row],[Customer_Segment]]="Bireysel","Individual",IF(logistics_classification_dataset__1[[#This Row],[Customer_Segment]]="Kurumsal","Corporate"))</f>
        <v>Individual</v>
      </c>
      <c r="L324">
        <v>1</v>
      </c>
    </row>
    <row r="325" spans="1:12" x14ac:dyDescent="0.35">
      <c r="A325">
        <v>324</v>
      </c>
      <c r="B325" t="s">
        <v>17</v>
      </c>
      <c r="C325" t="s">
        <v>22</v>
      </c>
      <c r="D325" t="s">
        <v>10</v>
      </c>
      <c r="E325" t="str">
        <f>IF(logistics_classification_dataset__1[[#This Row],[Shipment_Type]]="Kara","Road",IF(logistics_classification_dataset__1[[#This Row],[Shipment_Type]]="Hava","Air",IF(logistics_classification_dataset__1[[#This Row],[Shipment_Type]]="Deniz","Sea")))</f>
        <v>Road</v>
      </c>
      <c r="F325">
        <v>1766.06</v>
      </c>
      <c r="G325" t="str">
        <f t="shared" si="10"/>
        <v>1501–2000</v>
      </c>
      <c r="H325" s="1">
        <v>1140.8</v>
      </c>
      <c r="I325" t="str">
        <f t="shared" si="11"/>
        <v>1001–1500</v>
      </c>
      <c r="J325" t="s">
        <v>11</v>
      </c>
      <c r="K325" t="str">
        <f>IF(logistics_classification_dataset__1[[#This Row],[Customer_Segment]]="Bireysel","Individual",IF(logistics_classification_dataset__1[[#This Row],[Customer_Segment]]="Kurumsal","Corporate"))</f>
        <v>Individual</v>
      </c>
      <c r="L325">
        <v>0</v>
      </c>
    </row>
    <row r="326" spans="1:12" x14ac:dyDescent="0.35">
      <c r="A326">
        <v>325</v>
      </c>
      <c r="B326" t="s">
        <v>22</v>
      </c>
      <c r="C326" t="s">
        <v>18</v>
      </c>
      <c r="D326" t="s">
        <v>10</v>
      </c>
      <c r="E326" t="str">
        <f>IF(logistics_classification_dataset__1[[#This Row],[Shipment_Type]]="Kara","Road",IF(logistics_classification_dataset__1[[#This Row],[Shipment_Type]]="Hava","Air",IF(logistics_classification_dataset__1[[#This Row],[Shipment_Type]]="Deniz","Sea")))</f>
        <v>Road</v>
      </c>
      <c r="F326">
        <v>108.54</v>
      </c>
      <c r="G326" t="str">
        <f t="shared" si="10"/>
        <v>0–500</v>
      </c>
      <c r="H326" s="1">
        <v>1665.6</v>
      </c>
      <c r="I326" t="str">
        <f t="shared" si="11"/>
        <v>1501–2000</v>
      </c>
      <c r="J326" t="s">
        <v>11</v>
      </c>
      <c r="K326" t="str">
        <f>IF(logistics_classification_dataset__1[[#This Row],[Customer_Segment]]="Bireysel","Individual",IF(logistics_classification_dataset__1[[#This Row],[Customer_Segment]]="Kurumsal","Corporate"))</f>
        <v>Individual</v>
      </c>
      <c r="L326">
        <v>0</v>
      </c>
    </row>
    <row r="327" spans="1:12" x14ac:dyDescent="0.35">
      <c r="A327">
        <v>326</v>
      </c>
      <c r="B327" t="s">
        <v>17</v>
      </c>
      <c r="C327" t="s">
        <v>16</v>
      </c>
      <c r="D327" t="s">
        <v>10</v>
      </c>
      <c r="E327" t="str">
        <f>IF(logistics_classification_dataset__1[[#This Row],[Shipment_Type]]="Kara","Road",IF(logistics_classification_dataset__1[[#This Row],[Shipment_Type]]="Hava","Air",IF(logistics_classification_dataset__1[[#This Row],[Shipment_Type]]="Deniz","Sea")))</f>
        <v>Road</v>
      </c>
      <c r="F327">
        <v>386.28</v>
      </c>
      <c r="G327" t="str">
        <f t="shared" si="10"/>
        <v>0–500</v>
      </c>
      <c r="H327" s="1">
        <v>1440</v>
      </c>
      <c r="I327" t="str">
        <f t="shared" si="11"/>
        <v>1001–1500</v>
      </c>
      <c r="J327" t="s">
        <v>14</v>
      </c>
      <c r="K327" t="str">
        <f>IF(logistics_classification_dataset__1[[#This Row],[Customer_Segment]]="Bireysel","Individual",IF(logistics_classification_dataset__1[[#This Row],[Customer_Segment]]="Kurumsal","Corporate"))</f>
        <v>Corporate</v>
      </c>
      <c r="L327">
        <v>0</v>
      </c>
    </row>
    <row r="328" spans="1:12" x14ac:dyDescent="0.35">
      <c r="A328">
        <v>327</v>
      </c>
      <c r="B328" t="s">
        <v>9</v>
      </c>
      <c r="C328" t="s">
        <v>13</v>
      </c>
      <c r="D328" t="s">
        <v>10</v>
      </c>
      <c r="E328" t="str">
        <f>IF(logistics_classification_dataset__1[[#This Row],[Shipment_Type]]="Kara","Road",IF(logistics_classification_dataset__1[[#This Row],[Shipment_Type]]="Hava","Air",IF(logistics_classification_dataset__1[[#This Row],[Shipment_Type]]="Deniz","Sea")))</f>
        <v>Road</v>
      </c>
      <c r="F328">
        <v>623.62</v>
      </c>
      <c r="G328" t="str">
        <f t="shared" si="10"/>
        <v>501–1000</v>
      </c>
      <c r="H328" s="1">
        <v>1408.6</v>
      </c>
      <c r="I328" t="str">
        <f t="shared" si="11"/>
        <v>1001–1500</v>
      </c>
      <c r="J328" t="s">
        <v>14</v>
      </c>
      <c r="K328" t="str">
        <f>IF(logistics_classification_dataset__1[[#This Row],[Customer_Segment]]="Bireysel","Individual",IF(logistics_classification_dataset__1[[#This Row],[Customer_Segment]]="Kurumsal","Corporate"))</f>
        <v>Corporate</v>
      </c>
      <c r="L328">
        <v>1</v>
      </c>
    </row>
    <row r="329" spans="1:12" x14ac:dyDescent="0.35">
      <c r="A329">
        <v>328</v>
      </c>
      <c r="B329" t="s">
        <v>13</v>
      </c>
      <c r="C329" t="s">
        <v>17</v>
      </c>
      <c r="D329" t="s">
        <v>15</v>
      </c>
      <c r="E329" t="str">
        <f>IF(logistics_classification_dataset__1[[#This Row],[Shipment_Type]]="Kara","Road",IF(logistics_classification_dataset__1[[#This Row],[Shipment_Type]]="Hava","Air",IF(logistics_classification_dataset__1[[#This Row],[Shipment_Type]]="Deniz","Sea")))</f>
        <v>Air</v>
      </c>
      <c r="F329">
        <v>1464.79</v>
      </c>
      <c r="G329" t="str">
        <f t="shared" si="10"/>
        <v>1001–1500</v>
      </c>
      <c r="H329" s="1">
        <v>682.5</v>
      </c>
      <c r="I329" t="str">
        <f t="shared" si="11"/>
        <v>501–1000</v>
      </c>
      <c r="J329" t="s">
        <v>11</v>
      </c>
      <c r="K329" t="str">
        <f>IF(logistics_classification_dataset__1[[#This Row],[Customer_Segment]]="Bireysel","Individual",IF(logistics_classification_dataset__1[[#This Row],[Customer_Segment]]="Kurumsal","Corporate"))</f>
        <v>Individual</v>
      </c>
      <c r="L329">
        <v>1</v>
      </c>
    </row>
    <row r="330" spans="1:12" x14ac:dyDescent="0.35">
      <c r="A330">
        <v>329</v>
      </c>
      <c r="B330" t="s">
        <v>9</v>
      </c>
      <c r="C330" t="s">
        <v>8</v>
      </c>
      <c r="D330" t="s">
        <v>15</v>
      </c>
      <c r="E330" t="str">
        <f>IF(logistics_classification_dataset__1[[#This Row],[Shipment_Type]]="Kara","Road",IF(logistics_classification_dataset__1[[#This Row],[Shipment_Type]]="Hava","Air",IF(logistics_classification_dataset__1[[#This Row],[Shipment_Type]]="Deniz","Sea")))</f>
        <v>Air</v>
      </c>
      <c r="F330">
        <v>1283.07</v>
      </c>
      <c r="G330" t="str">
        <f t="shared" si="10"/>
        <v>1001–1500</v>
      </c>
      <c r="H330" s="1">
        <v>506.1</v>
      </c>
      <c r="I330" t="str">
        <f t="shared" si="11"/>
        <v>501–1000</v>
      </c>
      <c r="J330" t="s">
        <v>11</v>
      </c>
      <c r="K330" t="str">
        <f>IF(logistics_classification_dataset__1[[#This Row],[Customer_Segment]]="Bireysel","Individual",IF(logistics_classification_dataset__1[[#This Row],[Customer_Segment]]="Kurumsal","Corporate"))</f>
        <v>Individual</v>
      </c>
      <c r="L330">
        <v>1</v>
      </c>
    </row>
    <row r="331" spans="1:12" x14ac:dyDescent="0.35">
      <c r="A331">
        <v>330</v>
      </c>
      <c r="B331" t="s">
        <v>20</v>
      </c>
      <c r="C331" t="s">
        <v>8</v>
      </c>
      <c r="D331" t="s">
        <v>10</v>
      </c>
      <c r="E331" t="str">
        <f>IF(logistics_classification_dataset__1[[#This Row],[Shipment_Type]]="Kara","Road",IF(logistics_classification_dataset__1[[#This Row],[Shipment_Type]]="Hava","Air",IF(logistics_classification_dataset__1[[#This Row],[Shipment_Type]]="Deniz","Sea")))</f>
        <v>Road</v>
      </c>
      <c r="F331">
        <v>834.81</v>
      </c>
      <c r="G331" t="str">
        <f t="shared" si="10"/>
        <v>501–1000</v>
      </c>
      <c r="H331" s="1">
        <v>461.2</v>
      </c>
      <c r="I331" t="str">
        <f t="shared" si="11"/>
        <v>0–500</v>
      </c>
      <c r="J331" t="s">
        <v>11</v>
      </c>
      <c r="K331" t="str">
        <f>IF(logistics_classification_dataset__1[[#This Row],[Customer_Segment]]="Bireysel","Individual",IF(logistics_classification_dataset__1[[#This Row],[Customer_Segment]]="Kurumsal","Corporate"))</f>
        <v>Individual</v>
      </c>
      <c r="L331">
        <v>0</v>
      </c>
    </row>
    <row r="332" spans="1:12" x14ac:dyDescent="0.35">
      <c r="A332">
        <v>331</v>
      </c>
      <c r="B332" t="s">
        <v>21</v>
      </c>
      <c r="C332" t="s">
        <v>8</v>
      </c>
      <c r="D332" t="s">
        <v>10</v>
      </c>
      <c r="E332" t="str">
        <f>IF(logistics_classification_dataset__1[[#This Row],[Shipment_Type]]="Kara","Road",IF(logistics_classification_dataset__1[[#This Row],[Shipment_Type]]="Hava","Air",IF(logistics_classification_dataset__1[[#This Row],[Shipment_Type]]="Deniz","Sea")))</f>
        <v>Road</v>
      </c>
      <c r="F332">
        <v>1519.34</v>
      </c>
      <c r="G332" t="str">
        <f t="shared" si="10"/>
        <v>1501–2000</v>
      </c>
      <c r="H332" s="1">
        <v>1721.5</v>
      </c>
      <c r="I332" t="str">
        <f t="shared" si="11"/>
        <v>1501–2000</v>
      </c>
      <c r="J332" t="s">
        <v>14</v>
      </c>
      <c r="K332" t="str">
        <f>IF(logistics_classification_dataset__1[[#This Row],[Customer_Segment]]="Bireysel","Individual",IF(logistics_classification_dataset__1[[#This Row],[Customer_Segment]]="Kurumsal","Corporate"))</f>
        <v>Corporate</v>
      </c>
      <c r="L332">
        <v>1</v>
      </c>
    </row>
    <row r="333" spans="1:12" x14ac:dyDescent="0.35">
      <c r="A333">
        <v>332</v>
      </c>
      <c r="B333" t="s">
        <v>8</v>
      </c>
      <c r="C333" t="s">
        <v>13</v>
      </c>
      <c r="D333" t="s">
        <v>15</v>
      </c>
      <c r="E333" t="str">
        <f>IF(logistics_classification_dataset__1[[#This Row],[Shipment_Type]]="Kara","Road",IF(logistics_classification_dataset__1[[#This Row],[Shipment_Type]]="Hava","Air",IF(logistics_classification_dataset__1[[#This Row],[Shipment_Type]]="Deniz","Sea")))</f>
        <v>Air</v>
      </c>
      <c r="F333">
        <v>1221.21</v>
      </c>
      <c r="G333" t="str">
        <f t="shared" si="10"/>
        <v>1001–1500</v>
      </c>
      <c r="H333" s="1">
        <v>1649.8</v>
      </c>
      <c r="I333" t="str">
        <f t="shared" si="11"/>
        <v>1501–2000</v>
      </c>
      <c r="J333" t="s">
        <v>11</v>
      </c>
      <c r="K333" t="str">
        <f>IF(logistics_classification_dataset__1[[#This Row],[Customer_Segment]]="Bireysel","Individual",IF(logistics_classification_dataset__1[[#This Row],[Customer_Segment]]="Kurumsal","Corporate"))</f>
        <v>Individual</v>
      </c>
      <c r="L333">
        <v>1</v>
      </c>
    </row>
    <row r="334" spans="1:12" x14ac:dyDescent="0.35">
      <c r="A334">
        <v>333</v>
      </c>
      <c r="B334" t="s">
        <v>17</v>
      </c>
      <c r="C334" t="s">
        <v>9</v>
      </c>
      <c r="D334" t="s">
        <v>10</v>
      </c>
      <c r="E334" t="str">
        <f>IF(logistics_classification_dataset__1[[#This Row],[Shipment_Type]]="Kara","Road",IF(logistics_classification_dataset__1[[#This Row],[Shipment_Type]]="Hava","Air",IF(logistics_classification_dataset__1[[#This Row],[Shipment_Type]]="Deniz","Sea")))</f>
        <v>Road</v>
      </c>
      <c r="F334">
        <v>179.26</v>
      </c>
      <c r="G334" t="str">
        <f t="shared" si="10"/>
        <v>0–500</v>
      </c>
      <c r="H334" s="1">
        <v>909.1</v>
      </c>
      <c r="I334" t="str">
        <f t="shared" si="11"/>
        <v>501–1000</v>
      </c>
      <c r="J334" t="s">
        <v>11</v>
      </c>
      <c r="K334" t="str">
        <f>IF(logistics_classification_dataset__1[[#This Row],[Customer_Segment]]="Bireysel","Individual",IF(logistics_classification_dataset__1[[#This Row],[Customer_Segment]]="Kurumsal","Corporate"))</f>
        <v>Individual</v>
      </c>
      <c r="L334">
        <v>1</v>
      </c>
    </row>
    <row r="335" spans="1:12" x14ac:dyDescent="0.35">
      <c r="A335">
        <v>334</v>
      </c>
      <c r="B335" t="s">
        <v>8</v>
      </c>
      <c r="C335" t="s">
        <v>12</v>
      </c>
      <c r="D335" t="s">
        <v>10</v>
      </c>
      <c r="E335" t="str">
        <f>IF(logistics_classification_dataset__1[[#This Row],[Shipment_Type]]="Kara","Road",IF(logistics_classification_dataset__1[[#This Row],[Shipment_Type]]="Hava","Air",IF(logistics_classification_dataset__1[[#This Row],[Shipment_Type]]="Deniz","Sea")))</f>
        <v>Road</v>
      </c>
      <c r="F335">
        <v>1636.96</v>
      </c>
      <c r="G335" t="str">
        <f t="shared" si="10"/>
        <v>1501–2000</v>
      </c>
      <c r="H335" s="1">
        <v>308.2</v>
      </c>
      <c r="I335" t="str">
        <f t="shared" si="11"/>
        <v>0–500</v>
      </c>
      <c r="J335" t="s">
        <v>11</v>
      </c>
      <c r="K335" t="str">
        <f>IF(logistics_classification_dataset__1[[#This Row],[Customer_Segment]]="Bireysel","Individual",IF(logistics_classification_dataset__1[[#This Row],[Customer_Segment]]="Kurumsal","Corporate"))</f>
        <v>Individual</v>
      </c>
      <c r="L335">
        <v>1</v>
      </c>
    </row>
    <row r="336" spans="1:12" x14ac:dyDescent="0.35">
      <c r="A336">
        <v>335</v>
      </c>
      <c r="B336" t="s">
        <v>17</v>
      </c>
      <c r="C336" t="s">
        <v>21</v>
      </c>
      <c r="D336" t="s">
        <v>10</v>
      </c>
      <c r="E336" t="str">
        <f>IF(logistics_classification_dataset__1[[#This Row],[Shipment_Type]]="Kara","Road",IF(logistics_classification_dataset__1[[#This Row],[Shipment_Type]]="Hava","Air",IF(logistics_classification_dataset__1[[#This Row],[Shipment_Type]]="Deniz","Sea")))</f>
        <v>Road</v>
      </c>
      <c r="F336">
        <v>509.36</v>
      </c>
      <c r="G336" t="str">
        <f t="shared" si="10"/>
        <v>501–1000</v>
      </c>
      <c r="H336" s="1">
        <v>795.4</v>
      </c>
      <c r="I336" t="str">
        <f t="shared" si="11"/>
        <v>501–1000</v>
      </c>
      <c r="J336" t="s">
        <v>11</v>
      </c>
      <c r="K336" t="str">
        <f>IF(logistics_classification_dataset__1[[#This Row],[Customer_Segment]]="Bireysel","Individual",IF(logistics_classification_dataset__1[[#This Row],[Customer_Segment]]="Kurumsal","Corporate"))</f>
        <v>Individual</v>
      </c>
      <c r="L336">
        <v>1</v>
      </c>
    </row>
    <row r="337" spans="1:12" x14ac:dyDescent="0.35">
      <c r="A337">
        <v>336</v>
      </c>
      <c r="B337" t="s">
        <v>18</v>
      </c>
      <c r="C337" t="s">
        <v>20</v>
      </c>
      <c r="D337" t="s">
        <v>10</v>
      </c>
      <c r="E337" t="str">
        <f>IF(logistics_classification_dataset__1[[#This Row],[Shipment_Type]]="Kara","Road",IF(logistics_classification_dataset__1[[#This Row],[Shipment_Type]]="Hava","Air",IF(logistics_classification_dataset__1[[#This Row],[Shipment_Type]]="Deniz","Sea")))</f>
        <v>Road</v>
      </c>
      <c r="F337">
        <v>546.52</v>
      </c>
      <c r="G337" t="str">
        <f t="shared" si="10"/>
        <v>501–1000</v>
      </c>
      <c r="H337" s="1">
        <v>1257.7</v>
      </c>
      <c r="I337" t="str">
        <f t="shared" si="11"/>
        <v>1001–1500</v>
      </c>
      <c r="J337" t="s">
        <v>11</v>
      </c>
      <c r="K337" t="str">
        <f>IF(logistics_classification_dataset__1[[#This Row],[Customer_Segment]]="Bireysel","Individual",IF(logistics_classification_dataset__1[[#This Row],[Customer_Segment]]="Kurumsal","Corporate"))</f>
        <v>Individual</v>
      </c>
      <c r="L337">
        <v>0</v>
      </c>
    </row>
    <row r="338" spans="1:12" x14ac:dyDescent="0.35">
      <c r="A338">
        <v>337</v>
      </c>
      <c r="B338" t="s">
        <v>22</v>
      </c>
      <c r="C338" t="s">
        <v>17</v>
      </c>
      <c r="D338" t="s">
        <v>10</v>
      </c>
      <c r="E338" t="str">
        <f>IF(logistics_classification_dataset__1[[#This Row],[Shipment_Type]]="Kara","Road",IF(logistics_classification_dataset__1[[#This Row],[Shipment_Type]]="Hava","Air",IF(logistics_classification_dataset__1[[#This Row],[Shipment_Type]]="Deniz","Sea")))</f>
        <v>Road</v>
      </c>
      <c r="F338">
        <v>255.09</v>
      </c>
      <c r="G338" t="str">
        <f t="shared" si="10"/>
        <v>0–500</v>
      </c>
      <c r="H338" s="1">
        <v>936.1</v>
      </c>
      <c r="I338" t="str">
        <f t="shared" si="11"/>
        <v>501–1000</v>
      </c>
      <c r="J338" t="s">
        <v>11</v>
      </c>
      <c r="K338" t="str">
        <f>IF(logistics_classification_dataset__1[[#This Row],[Customer_Segment]]="Bireysel","Individual",IF(logistics_classification_dataset__1[[#This Row],[Customer_Segment]]="Kurumsal","Corporate"))</f>
        <v>Individual</v>
      </c>
      <c r="L338">
        <v>0</v>
      </c>
    </row>
    <row r="339" spans="1:12" x14ac:dyDescent="0.35">
      <c r="A339">
        <v>338</v>
      </c>
      <c r="B339" t="s">
        <v>20</v>
      </c>
      <c r="C339" t="s">
        <v>9</v>
      </c>
      <c r="D339" t="s">
        <v>10</v>
      </c>
      <c r="E339" t="str">
        <f>IF(logistics_classification_dataset__1[[#This Row],[Shipment_Type]]="Kara","Road",IF(logistics_classification_dataset__1[[#This Row],[Shipment_Type]]="Hava","Air",IF(logistics_classification_dataset__1[[#This Row],[Shipment_Type]]="Deniz","Sea")))</f>
        <v>Road</v>
      </c>
      <c r="F339">
        <v>677.24</v>
      </c>
      <c r="G339" t="str">
        <f t="shared" si="10"/>
        <v>501–1000</v>
      </c>
      <c r="H339" s="1">
        <v>1571.4</v>
      </c>
      <c r="I339" t="str">
        <f t="shared" si="11"/>
        <v>1501–2000</v>
      </c>
      <c r="J339" t="s">
        <v>11</v>
      </c>
      <c r="K339" t="str">
        <f>IF(logistics_classification_dataset__1[[#This Row],[Customer_Segment]]="Bireysel","Individual",IF(logistics_classification_dataset__1[[#This Row],[Customer_Segment]]="Kurumsal","Corporate"))</f>
        <v>Individual</v>
      </c>
      <c r="L339">
        <v>1</v>
      </c>
    </row>
    <row r="340" spans="1:12" x14ac:dyDescent="0.35">
      <c r="A340">
        <v>339</v>
      </c>
      <c r="B340" t="s">
        <v>13</v>
      </c>
      <c r="C340" t="s">
        <v>17</v>
      </c>
      <c r="D340" t="s">
        <v>10</v>
      </c>
      <c r="E340" t="str">
        <f>IF(logistics_classification_dataset__1[[#This Row],[Shipment_Type]]="Kara","Road",IF(logistics_classification_dataset__1[[#This Row],[Shipment_Type]]="Hava","Air",IF(logistics_classification_dataset__1[[#This Row],[Shipment_Type]]="Deniz","Sea")))</f>
        <v>Road</v>
      </c>
      <c r="F340">
        <v>1999.09</v>
      </c>
      <c r="G340" t="str">
        <f t="shared" si="10"/>
        <v>1501–2000</v>
      </c>
      <c r="H340" s="1">
        <v>1995.4</v>
      </c>
      <c r="I340" t="str">
        <f t="shared" si="11"/>
        <v>1501–2000</v>
      </c>
      <c r="J340" t="s">
        <v>11</v>
      </c>
      <c r="K340" t="str">
        <f>IF(logistics_classification_dataset__1[[#This Row],[Customer_Segment]]="Bireysel","Individual",IF(logistics_classification_dataset__1[[#This Row],[Customer_Segment]]="Kurumsal","Corporate"))</f>
        <v>Individual</v>
      </c>
      <c r="L340">
        <v>1</v>
      </c>
    </row>
    <row r="341" spans="1:12" x14ac:dyDescent="0.35">
      <c r="A341">
        <v>340</v>
      </c>
      <c r="B341" t="s">
        <v>17</v>
      </c>
      <c r="C341" t="s">
        <v>22</v>
      </c>
      <c r="D341" t="s">
        <v>15</v>
      </c>
      <c r="E341" t="str">
        <f>IF(logistics_classification_dataset__1[[#This Row],[Shipment_Type]]="Kara","Road",IF(logistics_classification_dataset__1[[#This Row],[Shipment_Type]]="Hava","Air",IF(logistics_classification_dataset__1[[#This Row],[Shipment_Type]]="Deniz","Sea")))</f>
        <v>Air</v>
      </c>
      <c r="F341">
        <v>814.47</v>
      </c>
      <c r="G341" t="str">
        <f t="shared" si="10"/>
        <v>501–1000</v>
      </c>
      <c r="H341" s="1">
        <v>422.7</v>
      </c>
      <c r="I341" t="str">
        <f t="shared" si="11"/>
        <v>0–500</v>
      </c>
      <c r="J341" t="s">
        <v>11</v>
      </c>
      <c r="K341" t="str">
        <f>IF(logistics_classification_dataset__1[[#This Row],[Customer_Segment]]="Bireysel","Individual",IF(logistics_classification_dataset__1[[#This Row],[Customer_Segment]]="Kurumsal","Corporate"))</f>
        <v>Individual</v>
      </c>
      <c r="L341">
        <v>0</v>
      </c>
    </row>
    <row r="342" spans="1:12" x14ac:dyDescent="0.35">
      <c r="A342">
        <v>341</v>
      </c>
      <c r="B342" t="s">
        <v>8</v>
      </c>
      <c r="C342" t="s">
        <v>13</v>
      </c>
      <c r="D342" t="s">
        <v>10</v>
      </c>
      <c r="E342" t="str">
        <f>IF(logistics_classification_dataset__1[[#This Row],[Shipment_Type]]="Kara","Road",IF(logistics_classification_dataset__1[[#This Row],[Shipment_Type]]="Hava","Air",IF(logistics_classification_dataset__1[[#This Row],[Shipment_Type]]="Deniz","Sea")))</f>
        <v>Road</v>
      </c>
      <c r="F342">
        <v>444.87</v>
      </c>
      <c r="G342" t="str">
        <f t="shared" si="10"/>
        <v>0–500</v>
      </c>
      <c r="H342" s="1">
        <v>946.3</v>
      </c>
      <c r="I342" t="str">
        <f t="shared" si="11"/>
        <v>501–1000</v>
      </c>
      <c r="J342" t="s">
        <v>14</v>
      </c>
      <c r="K342" t="str">
        <f>IF(logistics_classification_dataset__1[[#This Row],[Customer_Segment]]="Bireysel","Individual",IF(logistics_classification_dataset__1[[#This Row],[Customer_Segment]]="Kurumsal","Corporate"))</f>
        <v>Corporate</v>
      </c>
      <c r="L342">
        <v>1</v>
      </c>
    </row>
    <row r="343" spans="1:12" x14ac:dyDescent="0.35">
      <c r="A343">
        <v>342</v>
      </c>
      <c r="B343" t="s">
        <v>20</v>
      </c>
      <c r="C343" t="s">
        <v>18</v>
      </c>
      <c r="D343" t="s">
        <v>15</v>
      </c>
      <c r="E343" t="str">
        <f>IF(logistics_classification_dataset__1[[#This Row],[Shipment_Type]]="Kara","Road",IF(logistics_classification_dataset__1[[#This Row],[Shipment_Type]]="Hava","Air",IF(logistics_classification_dataset__1[[#This Row],[Shipment_Type]]="Deniz","Sea")))</f>
        <v>Air</v>
      </c>
      <c r="F343">
        <v>1526.15</v>
      </c>
      <c r="G343" t="str">
        <f t="shared" si="10"/>
        <v>1501–2000</v>
      </c>
      <c r="H343" s="1">
        <v>890.4</v>
      </c>
      <c r="I343" t="str">
        <f t="shared" si="11"/>
        <v>501–1000</v>
      </c>
      <c r="J343" t="s">
        <v>11</v>
      </c>
      <c r="K343" t="str">
        <f>IF(logistics_classification_dataset__1[[#This Row],[Customer_Segment]]="Bireysel","Individual",IF(logistics_classification_dataset__1[[#This Row],[Customer_Segment]]="Kurumsal","Corporate"))</f>
        <v>Individual</v>
      </c>
      <c r="L343">
        <v>1</v>
      </c>
    </row>
    <row r="344" spans="1:12" x14ac:dyDescent="0.35">
      <c r="A344">
        <v>343</v>
      </c>
      <c r="B344" t="s">
        <v>12</v>
      </c>
      <c r="C344" t="s">
        <v>17</v>
      </c>
      <c r="D344" t="s">
        <v>10</v>
      </c>
      <c r="E344" t="str">
        <f>IF(logistics_classification_dataset__1[[#This Row],[Shipment_Type]]="Kara","Road",IF(logistics_classification_dataset__1[[#This Row],[Shipment_Type]]="Hava","Air",IF(logistics_classification_dataset__1[[#This Row],[Shipment_Type]]="Deniz","Sea")))</f>
        <v>Road</v>
      </c>
      <c r="F344">
        <v>1087.23</v>
      </c>
      <c r="G344" t="str">
        <f t="shared" si="10"/>
        <v>1001–1500</v>
      </c>
      <c r="H344" s="1">
        <v>643.79999999999995</v>
      </c>
      <c r="I344" t="str">
        <f t="shared" si="11"/>
        <v>501–1000</v>
      </c>
      <c r="J344" t="s">
        <v>11</v>
      </c>
      <c r="K344" t="str">
        <f>IF(logistics_classification_dataset__1[[#This Row],[Customer_Segment]]="Bireysel","Individual",IF(logistics_classification_dataset__1[[#This Row],[Customer_Segment]]="Kurumsal","Corporate"))</f>
        <v>Individual</v>
      </c>
      <c r="L344">
        <v>1</v>
      </c>
    </row>
    <row r="345" spans="1:12" x14ac:dyDescent="0.35">
      <c r="A345">
        <v>344</v>
      </c>
      <c r="B345" t="s">
        <v>12</v>
      </c>
      <c r="C345" t="s">
        <v>22</v>
      </c>
      <c r="D345" t="s">
        <v>10</v>
      </c>
      <c r="E345" t="str">
        <f>IF(logistics_classification_dataset__1[[#This Row],[Shipment_Type]]="Kara","Road",IF(logistics_classification_dataset__1[[#This Row],[Shipment_Type]]="Hava","Air",IF(logistics_classification_dataset__1[[#This Row],[Shipment_Type]]="Deniz","Sea")))</f>
        <v>Road</v>
      </c>
      <c r="F345">
        <v>303.45</v>
      </c>
      <c r="G345" t="str">
        <f t="shared" si="10"/>
        <v>0–500</v>
      </c>
      <c r="H345" s="1">
        <v>436.3</v>
      </c>
      <c r="I345" t="str">
        <f t="shared" si="11"/>
        <v>0–500</v>
      </c>
      <c r="J345" t="s">
        <v>11</v>
      </c>
      <c r="K345" t="str">
        <f>IF(logistics_classification_dataset__1[[#This Row],[Customer_Segment]]="Bireysel","Individual",IF(logistics_classification_dataset__1[[#This Row],[Customer_Segment]]="Kurumsal","Corporate"))</f>
        <v>Individual</v>
      </c>
      <c r="L345">
        <v>1</v>
      </c>
    </row>
    <row r="346" spans="1:12" x14ac:dyDescent="0.35">
      <c r="A346">
        <v>345</v>
      </c>
      <c r="B346" t="s">
        <v>9</v>
      </c>
      <c r="C346" t="s">
        <v>8</v>
      </c>
      <c r="D346" t="s">
        <v>15</v>
      </c>
      <c r="E346" t="str">
        <f>IF(logistics_classification_dataset__1[[#This Row],[Shipment_Type]]="Kara","Road",IF(logistics_classification_dataset__1[[#This Row],[Shipment_Type]]="Hava","Air",IF(logistics_classification_dataset__1[[#This Row],[Shipment_Type]]="Deniz","Sea")))</f>
        <v>Air</v>
      </c>
      <c r="F346">
        <v>764.48</v>
      </c>
      <c r="G346" t="str">
        <f t="shared" si="10"/>
        <v>501–1000</v>
      </c>
      <c r="H346" s="1">
        <v>178.1</v>
      </c>
      <c r="I346" t="str">
        <f t="shared" si="11"/>
        <v>0–500</v>
      </c>
      <c r="J346" t="s">
        <v>11</v>
      </c>
      <c r="K346" t="str">
        <f>IF(logistics_classification_dataset__1[[#This Row],[Customer_Segment]]="Bireysel","Individual",IF(logistics_classification_dataset__1[[#This Row],[Customer_Segment]]="Kurumsal","Corporate"))</f>
        <v>Individual</v>
      </c>
      <c r="L346">
        <v>1</v>
      </c>
    </row>
    <row r="347" spans="1:12" x14ac:dyDescent="0.35">
      <c r="A347">
        <v>346</v>
      </c>
      <c r="B347" t="s">
        <v>13</v>
      </c>
      <c r="C347" t="s">
        <v>22</v>
      </c>
      <c r="D347" t="s">
        <v>10</v>
      </c>
      <c r="E347" t="str">
        <f>IF(logistics_classification_dataset__1[[#This Row],[Shipment_Type]]="Kara","Road",IF(logistics_classification_dataset__1[[#This Row],[Shipment_Type]]="Hava","Air",IF(logistics_classification_dataset__1[[#This Row],[Shipment_Type]]="Deniz","Sea")))</f>
        <v>Road</v>
      </c>
      <c r="F347">
        <v>831.87</v>
      </c>
      <c r="G347" t="str">
        <f t="shared" si="10"/>
        <v>501–1000</v>
      </c>
      <c r="H347" s="1">
        <v>1779.9</v>
      </c>
      <c r="I347" t="str">
        <f t="shared" si="11"/>
        <v>1501–2000</v>
      </c>
      <c r="J347" t="s">
        <v>11</v>
      </c>
      <c r="K347" t="str">
        <f>IF(logistics_classification_dataset__1[[#This Row],[Customer_Segment]]="Bireysel","Individual",IF(logistics_classification_dataset__1[[#This Row],[Customer_Segment]]="Kurumsal","Corporate"))</f>
        <v>Individual</v>
      </c>
      <c r="L347">
        <v>1</v>
      </c>
    </row>
    <row r="348" spans="1:12" x14ac:dyDescent="0.35">
      <c r="A348">
        <v>347</v>
      </c>
      <c r="B348" t="s">
        <v>18</v>
      </c>
      <c r="C348" t="s">
        <v>12</v>
      </c>
      <c r="D348" t="s">
        <v>10</v>
      </c>
      <c r="E348" t="str">
        <f>IF(logistics_classification_dataset__1[[#This Row],[Shipment_Type]]="Kara","Road",IF(logistics_classification_dataset__1[[#This Row],[Shipment_Type]]="Hava","Air",IF(logistics_classification_dataset__1[[#This Row],[Shipment_Type]]="Deniz","Sea")))</f>
        <v>Road</v>
      </c>
      <c r="F348">
        <v>1508.89</v>
      </c>
      <c r="G348" t="str">
        <f t="shared" si="10"/>
        <v>1501–2000</v>
      </c>
      <c r="H348" s="1">
        <v>868.7</v>
      </c>
      <c r="I348" t="str">
        <f t="shared" si="11"/>
        <v>501–1000</v>
      </c>
      <c r="J348" t="s">
        <v>14</v>
      </c>
      <c r="K348" t="str">
        <f>IF(logistics_classification_dataset__1[[#This Row],[Customer_Segment]]="Bireysel","Individual",IF(logistics_classification_dataset__1[[#This Row],[Customer_Segment]]="Kurumsal","Corporate"))</f>
        <v>Corporate</v>
      </c>
      <c r="L348">
        <v>1</v>
      </c>
    </row>
    <row r="349" spans="1:12" x14ac:dyDescent="0.35">
      <c r="A349">
        <v>348</v>
      </c>
      <c r="B349" t="s">
        <v>8</v>
      </c>
      <c r="C349" t="s">
        <v>13</v>
      </c>
      <c r="D349" t="s">
        <v>10</v>
      </c>
      <c r="E349" t="str">
        <f>IF(logistics_classification_dataset__1[[#This Row],[Shipment_Type]]="Kara","Road",IF(logistics_classification_dataset__1[[#This Row],[Shipment_Type]]="Hava","Air",IF(logistics_classification_dataset__1[[#This Row],[Shipment_Type]]="Deniz","Sea")))</f>
        <v>Road</v>
      </c>
      <c r="F349">
        <v>46.24</v>
      </c>
      <c r="G349" t="str">
        <f t="shared" si="10"/>
        <v>0–500</v>
      </c>
      <c r="H349" s="1">
        <v>1018.9</v>
      </c>
      <c r="I349" t="str">
        <f t="shared" si="11"/>
        <v>1001–1500</v>
      </c>
      <c r="J349" t="s">
        <v>11</v>
      </c>
      <c r="K349" t="str">
        <f>IF(logistics_classification_dataset__1[[#This Row],[Customer_Segment]]="Bireysel","Individual",IF(logistics_classification_dataset__1[[#This Row],[Customer_Segment]]="Kurumsal","Corporate"))</f>
        <v>Individual</v>
      </c>
      <c r="L349">
        <v>1</v>
      </c>
    </row>
    <row r="350" spans="1:12" x14ac:dyDescent="0.35">
      <c r="A350">
        <v>349</v>
      </c>
      <c r="B350" t="s">
        <v>22</v>
      </c>
      <c r="C350" t="s">
        <v>12</v>
      </c>
      <c r="D350" t="s">
        <v>15</v>
      </c>
      <c r="E350" t="str">
        <f>IF(logistics_classification_dataset__1[[#This Row],[Shipment_Type]]="Kara","Road",IF(logistics_classification_dataset__1[[#This Row],[Shipment_Type]]="Hava","Air",IF(logistics_classification_dataset__1[[#This Row],[Shipment_Type]]="Deniz","Sea")))</f>
        <v>Air</v>
      </c>
      <c r="F350">
        <v>541.69000000000005</v>
      </c>
      <c r="G350" t="str">
        <f t="shared" si="10"/>
        <v>501–1000</v>
      </c>
      <c r="H350" s="1">
        <v>1838</v>
      </c>
      <c r="I350" t="str">
        <f t="shared" si="11"/>
        <v>1501–2000</v>
      </c>
      <c r="J350" t="s">
        <v>14</v>
      </c>
      <c r="K350" t="str">
        <f>IF(logistics_classification_dataset__1[[#This Row],[Customer_Segment]]="Bireysel","Individual",IF(logistics_classification_dataset__1[[#This Row],[Customer_Segment]]="Kurumsal","Corporate"))</f>
        <v>Corporate</v>
      </c>
      <c r="L350">
        <v>0</v>
      </c>
    </row>
    <row r="351" spans="1:12" x14ac:dyDescent="0.35">
      <c r="A351">
        <v>350</v>
      </c>
      <c r="B351" t="s">
        <v>22</v>
      </c>
      <c r="C351" t="s">
        <v>9</v>
      </c>
      <c r="D351" t="s">
        <v>10</v>
      </c>
      <c r="E351" t="str">
        <f>IF(logistics_classification_dataset__1[[#This Row],[Shipment_Type]]="Kara","Road",IF(logistics_classification_dataset__1[[#This Row],[Shipment_Type]]="Hava","Air",IF(logistics_classification_dataset__1[[#This Row],[Shipment_Type]]="Deniz","Sea")))</f>
        <v>Road</v>
      </c>
      <c r="F351">
        <v>103.76</v>
      </c>
      <c r="G351" t="str">
        <f t="shared" si="10"/>
        <v>0–500</v>
      </c>
      <c r="H351" s="1">
        <v>1563.8</v>
      </c>
      <c r="I351" t="str">
        <f t="shared" si="11"/>
        <v>1501–2000</v>
      </c>
      <c r="J351" t="s">
        <v>11</v>
      </c>
      <c r="K351" t="str">
        <f>IF(logistics_classification_dataset__1[[#This Row],[Customer_Segment]]="Bireysel","Individual",IF(logistics_classification_dataset__1[[#This Row],[Customer_Segment]]="Kurumsal","Corporate"))</f>
        <v>Individual</v>
      </c>
      <c r="L351">
        <v>1</v>
      </c>
    </row>
    <row r="352" spans="1:12" x14ac:dyDescent="0.35">
      <c r="A352">
        <v>351</v>
      </c>
      <c r="B352" t="s">
        <v>8</v>
      </c>
      <c r="C352" t="s">
        <v>16</v>
      </c>
      <c r="D352" t="s">
        <v>10</v>
      </c>
      <c r="E352" t="str">
        <f>IF(logistics_classification_dataset__1[[#This Row],[Shipment_Type]]="Kara","Road",IF(logistics_classification_dataset__1[[#This Row],[Shipment_Type]]="Hava","Air",IF(logistics_classification_dataset__1[[#This Row],[Shipment_Type]]="Deniz","Sea")))</f>
        <v>Road</v>
      </c>
      <c r="F352">
        <v>541.35</v>
      </c>
      <c r="G352" t="str">
        <f t="shared" si="10"/>
        <v>501–1000</v>
      </c>
      <c r="H352" s="1">
        <v>304.5</v>
      </c>
      <c r="I352" t="str">
        <f t="shared" si="11"/>
        <v>0–500</v>
      </c>
      <c r="J352" t="s">
        <v>11</v>
      </c>
      <c r="K352" t="str">
        <f>IF(logistics_classification_dataset__1[[#This Row],[Customer_Segment]]="Bireysel","Individual",IF(logistics_classification_dataset__1[[#This Row],[Customer_Segment]]="Kurumsal","Corporate"))</f>
        <v>Individual</v>
      </c>
      <c r="L352">
        <v>1</v>
      </c>
    </row>
    <row r="353" spans="1:12" x14ac:dyDescent="0.35">
      <c r="A353">
        <v>352</v>
      </c>
      <c r="B353" t="s">
        <v>21</v>
      </c>
      <c r="C353" t="s">
        <v>20</v>
      </c>
      <c r="D353" t="s">
        <v>15</v>
      </c>
      <c r="E353" t="str">
        <f>IF(logistics_classification_dataset__1[[#This Row],[Shipment_Type]]="Kara","Road",IF(logistics_classification_dataset__1[[#This Row],[Shipment_Type]]="Hava","Air",IF(logistics_classification_dataset__1[[#This Row],[Shipment_Type]]="Deniz","Sea")))</f>
        <v>Air</v>
      </c>
      <c r="F353">
        <v>1258.73</v>
      </c>
      <c r="G353" t="str">
        <f t="shared" si="10"/>
        <v>1001–1500</v>
      </c>
      <c r="H353" s="1">
        <v>1152.5999999999999</v>
      </c>
      <c r="I353" t="str">
        <f t="shared" si="11"/>
        <v>1001–1500</v>
      </c>
      <c r="J353" t="s">
        <v>11</v>
      </c>
      <c r="K353" t="str">
        <f>IF(logistics_classification_dataset__1[[#This Row],[Customer_Segment]]="Bireysel","Individual",IF(logistics_classification_dataset__1[[#This Row],[Customer_Segment]]="Kurumsal","Corporate"))</f>
        <v>Individual</v>
      </c>
      <c r="L353">
        <v>1</v>
      </c>
    </row>
    <row r="354" spans="1:12" x14ac:dyDescent="0.35">
      <c r="A354">
        <v>353</v>
      </c>
      <c r="B354" t="s">
        <v>18</v>
      </c>
      <c r="C354" t="s">
        <v>13</v>
      </c>
      <c r="D354" t="s">
        <v>10</v>
      </c>
      <c r="E354" t="str">
        <f>IF(logistics_classification_dataset__1[[#This Row],[Shipment_Type]]="Kara","Road",IF(logistics_classification_dataset__1[[#This Row],[Shipment_Type]]="Hava","Air",IF(logistics_classification_dataset__1[[#This Row],[Shipment_Type]]="Deniz","Sea")))</f>
        <v>Road</v>
      </c>
      <c r="F354">
        <v>966.33</v>
      </c>
      <c r="G354" t="str">
        <f t="shared" si="10"/>
        <v>501–1000</v>
      </c>
      <c r="H354" s="1">
        <v>912.4</v>
      </c>
      <c r="I354" t="str">
        <f t="shared" si="11"/>
        <v>501–1000</v>
      </c>
      <c r="J354" t="s">
        <v>11</v>
      </c>
      <c r="K354" t="str">
        <f>IF(logistics_classification_dataset__1[[#This Row],[Customer_Segment]]="Bireysel","Individual",IF(logistics_classification_dataset__1[[#This Row],[Customer_Segment]]="Kurumsal","Corporate"))</f>
        <v>Individual</v>
      </c>
      <c r="L354">
        <v>1</v>
      </c>
    </row>
    <row r="355" spans="1:12" x14ac:dyDescent="0.35">
      <c r="A355">
        <v>354</v>
      </c>
      <c r="B355" t="s">
        <v>20</v>
      </c>
      <c r="C355" t="s">
        <v>21</v>
      </c>
      <c r="D355" t="s">
        <v>15</v>
      </c>
      <c r="E355" t="str">
        <f>IF(logistics_classification_dataset__1[[#This Row],[Shipment_Type]]="Kara","Road",IF(logistics_classification_dataset__1[[#This Row],[Shipment_Type]]="Hava","Air",IF(logistics_classification_dataset__1[[#This Row],[Shipment_Type]]="Deniz","Sea")))</f>
        <v>Air</v>
      </c>
      <c r="F355">
        <v>726.61</v>
      </c>
      <c r="G355" t="str">
        <f t="shared" si="10"/>
        <v>501–1000</v>
      </c>
      <c r="H355" s="1">
        <v>1604.6</v>
      </c>
      <c r="I355" t="str">
        <f t="shared" si="11"/>
        <v>1501–2000</v>
      </c>
      <c r="J355" t="s">
        <v>14</v>
      </c>
      <c r="K355" t="str">
        <f>IF(logistics_classification_dataset__1[[#This Row],[Customer_Segment]]="Bireysel","Individual",IF(logistics_classification_dataset__1[[#This Row],[Customer_Segment]]="Kurumsal","Corporate"))</f>
        <v>Corporate</v>
      </c>
      <c r="L355">
        <v>1</v>
      </c>
    </row>
    <row r="356" spans="1:12" x14ac:dyDescent="0.35">
      <c r="A356">
        <v>355</v>
      </c>
      <c r="B356" t="s">
        <v>17</v>
      </c>
      <c r="C356" t="s">
        <v>21</v>
      </c>
      <c r="D356" t="s">
        <v>15</v>
      </c>
      <c r="E356" t="str">
        <f>IF(logistics_classification_dataset__1[[#This Row],[Shipment_Type]]="Kara","Road",IF(logistics_classification_dataset__1[[#This Row],[Shipment_Type]]="Hava","Air",IF(logistics_classification_dataset__1[[#This Row],[Shipment_Type]]="Deniz","Sea")))</f>
        <v>Air</v>
      </c>
      <c r="F356">
        <v>1898.67</v>
      </c>
      <c r="G356" t="str">
        <f t="shared" si="10"/>
        <v>1501–2000</v>
      </c>
      <c r="H356" s="1">
        <v>1462.3</v>
      </c>
      <c r="I356" t="str">
        <f t="shared" si="11"/>
        <v>1001–1500</v>
      </c>
      <c r="J356" t="s">
        <v>14</v>
      </c>
      <c r="K356" t="str">
        <f>IF(logistics_classification_dataset__1[[#This Row],[Customer_Segment]]="Bireysel","Individual",IF(logistics_classification_dataset__1[[#This Row],[Customer_Segment]]="Kurumsal","Corporate"))</f>
        <v>Corporate</v>
      </c>
      <c r="L356">
        <v>0</v>
      </c>
    </row>
    <row r="357" spans="1:12" x14ac:dyDescent="0.35">
      <c r="A357">
        <v>356</v>
      </c>
      <c r="B357" t="s">
        <v>21</v>
      </c>
      <c r="C357" t="s">
        <v>20</v>
      </c>
      <c r="D357" t="s">
        <v>19</v>
      </c>
      <c r="E357" t="str">
        <f>IF(logistics_classification_dataset__1[[#This Row],[Shipment_Type]]="Kara","Road",IF(logistics_classification_dataset__1[[#This Row],[Shipment_Type]]="Hava","Air",IF(logistics_classification_dataset__1[[#This Row],[Shipment_Type]]="Deniz","Sea")))</f>
        <v>Sea</v>
      </c>
      <c r="F357">
        <v>1266.1600000000001</v>
      </c>
      <c r="G357" t="str">
        <f t="shared" si="10"/>
        <v>1001–1500</v>
      </c>
      <c r="H357" s="1">
        <v>1396.3</v>
      </c>
      <c r="I357" t="str">
        <f t="shared" si="11"/>
        <v>1001–1500</v>
      </c>
      <c r="J357" t="s">
        <v>14</v>
      </c>
      <c r="K357" t="str">
        <f>IF(logistics_classification_dataset__1[[#This Row],[Customer_Segment]]="Bireysel","Individual",IF(logistics_classification_dataset__1[[#This Row],[Customer_Segment]]="Kurumsal","Corporate"))</f>
        <v>Corporate</v>
      </c>
      <c r="L357">
        <v>1</v>
      </c>
    </row>
    <row r="358" spans="1:12" x14ac:dyDescent="0.35">
      <c r="A358">
        <v>357</v>
      </c>
      <c r="B358" t="s">
        <v>17</v>
      </c>
      <c r="C358" t="s">
        <v>8</v>
      </c>
      <c r="D358" t="s">
        <v>10</v>
      </c>
      <c r="E358" t="str">
        <f>IF(logistics_classification_dataset__1[[#This Row],[Shipment_Type]]="Kara","Road",IF(logistics_classification_dataset__1[[#This Row],[Shipment_Type]]="Hava","Air",IF(logistics_classification_dataset__1[[#This Row],[Shipment_Type]]="Deniz","Sea")))</f>
        <v>Road</v>
      </c>
      <c r="F358">
        <v>264.23</v>
      </c>
      <c r="G358" t="str">
        <f t="shared" si="10"/>
        <v>0–500</v>
      </c>
      <c r="H358" s="1">
        <v>714.1</v>
      </c>
      <c r="I358" t="str">
        <f t="shared" si="11"/>
        <v>501–1000</v>
      </c>
      <c r="J358" t="s">
        <v>14</v>
      </c>
      <c r="K358" t="str">
        <f>IF(logistics_classification_dataset__1[[#This Row],[Customer_Segment]]="Bireysel","Individual",IF(logistics_classification_dataset__1[[#This Row],[Customer_Segment]]="Kurumsal","Corporate"))</f>
        <v>Corporate</v>
      </c>
      <c r="L358">
        <v>1</v>
      </c>
    </row>
    <row r="359" spans="1:12" x14ac:dyDescent="0.35">
      <c r="A359">
        <v>358</v>
      </c>
      <c r="B359" t="s">
        <v>17</v>
      </c>
      <c r="C359" t="s">
        <v>12</v>
      </c>
      <c r="D359" t="s">
        <v>15</v>
      </c>
      <c r="E359" t="str">
        <f>IF(logistics_classification_dataset__1[[#This Row],[Shipment_Type]]="Kara","Road",IF(logistics_classification_dataset__1[[#This Row],[Shipment_Type]]="Hava","Air",IF(logistics_classification_dataset__1[[#This Row],[Shipment_Type]]="Deniz","Sea")))</f>
        <v>Air</v>
      </c>
      <c r="F359">
        <v>1122.3800000000001</v>
      </c>
      <c r="G359" t="str">
        <f t="shared" si="10"/>
        <v>1001–1500</v>
      </c>
      <c r="H359" s="1">
        <v>1619.7</v>
      </c>
      <c r="I359" t="str">
        <f t="shared" si="11"/>
        <v>1501–2000</v>
      </c>
      <c r="J359" t="s">
        <v>14</v>
      </c>
      <c r="K359" t="str">
        <f>IF(logistics_classification_dataset__1[[#This Row],[Customer_Segment]]="Bireysel","Individual",IF(logistics_classification_dataset__1[[#This Row],[Customer_Segment]]="Kurumsal","Corporate"))</f>
        <v>Corporate</v>
      </c>
      <c r="L359">
        <v>1</v>
      </c>
    </row>
    <row r="360" spans="1:12" x14ac:dyDescent="0.35">
      <c r="A360">
        <v>359</v>
      </c>
      <c r="B360" t="s">
        <v>21</v>
      </c>
      <c r="C360" t="s">
        <v>16</v>
      </c>
      <c r="D360" t="s">
        <v>10</v>
      </c>
      <c r="E360" t="str">
        <f>IF(logistics_classification_dataset__1[[#This Row],[Shipment_Type]]="Kara","Road",IF(logistics_classification_dataset__1[[#This Row],[Shipment_Type]]="Hava","Air",IF(logistics_classification_dataset__1[[#This Row],[Shipment_Type]]="Deniz","Sea")))</f>
        <v>Road</v>
      </c>
      <c r="F360">
        <v>1562.56</v>
      </c>
      <c r="G360" t="str">
        <f t="shared" si="10"/>
        <v>1501–2000</v>
      </c>
      <c r="H360" s="1">
        <v>152.19999999999999</v>
      </c>
      <c r="I360" t="str">
        <f t="shared" si="11"/>
        <v>0–500</v>
      </c>
      <c r="J360" t="s">
        <v>11</v>
      </c>
      <c r="K360" t="str">
        <f>IF(logistics_classification_dataset__1[[#This Row],[Customer_Segment]]="Bireysel","Individual",IF(logistics_classification_dataset__1[[#This Row],[Customer_Segment]]="Kurumsal","Corporate"))</f>
        <v>Individual</v>
      </c>
      <c r="L360">
        <v>1</v>
      </c>
    </row>
    <row r="361" spans="1:12" x14ac:dyDescent="0.35">
      <c r="A361">
        <v>360</v>
      </c>
      <c r="B361" t="s">
        <v>9</v>
      </c>
      <c r="C361" t="s">
        <v>21</v>
      </c>
      <c r="D361" t="s">
        <v>10</v>
      </c>
      <c r="E361" t="str">
        <f>IF(logistics_classification_dataset__1[[#This Row],[Shipment_Type]]="Kara","Road",IF(logistics_classification_dataset__1[[#This Row],[Shipment_Type]]="Hava","Air",IF(logistics_classification_dataset__1[[#This Row],[Shipment_Type]]="Deniz","Sea")))</f>
        <v>Road</v>
      </c>
      <c r="F361">
        <v>1418.44</v>
      </c>
      <c r="G361" t="str">
        <f t="shared" si="10"/>
        <v>1001–1500</v>
      </c>
      <c r="H361" s="1">
        <v>361.3</v>
      </c>
      <c r="I361" t="str">
        <f t="shared" si="11"/>
        <v>0–500</v>
      </c>
      <c r="J361" t="s">
        <v>11</v>
      </c>
      <c r="K361" t="str">
        <f>IF(logistics_classification_dataset__1[[#This Row],[Customer_Segment]]="Bireysel","Individual",IF(logistics_classification_dataset__1[[#This Row],[Customer_Segment]]="Kurumsal","Corporate"))</f>
        <v>Individual</v>
      </c>
      <c r="L361">
        <v>1</v>
      </c>
    </row>
    <row r="362" spans="1:12" x14ac:dyDescent="0.35">
      <c r="A362">
        <v>361</v>
      </c>
      <c r="B362" t="s">
        <v>12</v>
      </c>
      <c r="C362" t="s">
        <v>9</v>
      </c>
      <c r="D362" t="s">
        <v>10</v>
      </c>
      <c r="E362" t="str">
        <f>IF(logistics_classification_dataset__1[[#This Row],[Shipment_Type]]="Kara","Road",IF(logistics_classification_dataset__1[[#This Row],[Shipment_Type]]="Hava","Air",IF(logistics_classification_dataset__1[[#This Row],[Shipment_Type]]="Deniz","Sea")))</f>
        <v>Road</v>
      </c>
      <c r="F362">
        <v>348.32</v>
      </c>
      <c r="G362" t="str">
        <f t="shared" si="10"/>
        <v>0–500</v>
      </c>
      <c r="H362" s="1">
        <v>704.5</v>
      </c>
      <c r="I362" t="str">
        <f t="shared" si="11"/>
        <v>501–1000</v>
      </c>
      <c r="J362" t="s">
        <v>11</v>
      </c>
      <c r="K362" t="str">
        <f>IF(logistics_classification_dataset__1[[#This Row],[Customer_Segment]]="Bireysel","Individual",IF(logistics_classification_dataset__1[[#This Row],[Customer_Segment]]="Kurumsal","Corporate"))</f>
        <v>Individual</v>
      </c>
      <c r="L362">
        <v>0</v>
      </c>
    </row>
    <row r="363" spans="1:12" x14ac:dyDescent="0.35">
      <c r="A363">
        <v>362</v>
      </c>
      <c r="B363" t="s">
        <v>17</v>
      </c>
      <c r="C363" t="s">
        <v>18</v>
      </c>
      <c r="D363" t="s">
        <v>15</v>
      </c>
      <c r="E363" t="str">
        <f>IF(logistics_classification_dataset__1[[#This Row],[Shipment_Type]]="Kara","Road",IF(logistics_classification_dataset__1[[#This Row],[Shipment_Type]]="Hava","Air",IF(logistics_classification_dataset__1[[#This Row],[Shipment_Type]]="Deniz","Sea")))</f>
        <v>Air</v>
      </c>
      <c r="F363">
        <v>1944.98</v>
      </c>
      <c r="G363" t="str">
        <f t="shared" si="10"/>
        <v>1501–2000</v>
      </c>
      <c r="H363" s="1">
        <v>199.8</v>
      </c>
      <c r="I363" t="str">
        <f t="shared" si="11"/>
        <v>0–500</v>
      </c>
      <c r="J363" t="s">
        <v>11</v>
      </c>
      <c r="K363" t="str">
        <f>IF(logistics_classification_dataset__1[[#This Row],[Customer_Segment]]="Bireysel","Individual",IF(logistics_classification_dataset__1[[#This Row],[Customer_Segment]]="Kurumsal","Corporate"))</f>
        <v>Individual</v>
      </c>
      <c r="L363">
        <v>0</v>
      </c>
    </row>
    <row r="364" spans="1:12" x14ac:dyDescent="0.35">
      <c r="A364">
        <v>363</v>
      </c>
      <c r="B364" t="s">
        <v>21</v>
      </c>
      <c r="C364" t="s">
        <v>13</v>
      </c>
      <c r="D364" t="s">
        <v>10</v>
      </c>
      <c r="E364" t="str">
        <f>IF(logistics_classification_dataset__1[[#This Row],[Shipment_Type]]="Kara","Road",IF(logistics_classification_dataset__1[[#This Row],[Shipment_Type]]="Hava","Air",IF(logistics_classification_dataset__1[[#This Row],[Shipment_Type]]="Deniz","Sea")))</f>
        <v>Road</v>
      </c>
      <c r="F364">
        <v>900.38</v>
      </c>
      <c r="G364" t="str">
        <f t="shared" si="10"/>
        <v>501–1000</v>
      </c>
      <c r="H364" s="1">
        <v>508.2</v>
      </c>
      <c r="I364" t="str">
        <f t="shared" si="11"/>
        <v>501–1000</v>
      </c>
      <c r="J364" t="s">
        <v>14</v>
      </c>
      <c r="K364" t="str">
        <f>IF(logistics_classification_dataset__1[[#This Row],[Customer_Segment]]="Bireysel","Individual",IF(logistics_classification_dataset__1[[#This Row],[Customer_Segment]]="Kurumsal","Corporate"))</f>
        <v>Corporate</v>
      </c>
      <c r="L364">
        <v>1</v>
      </c>
    </row>
    <row r="365" spans="1:12" x14ac:dyDescent="0.35">
      <c r="A365">
        <v>364</v>
      </c>
      <c r="B365" t="s">
        <v>21</v>
      </c>
      <c r="C365" t="s">
        <v>22</v>
      </c>
      <c r="D365" t="s">
        <v>10</v>
      </c>
      <c r="E365" t="str">
        <f>IF(logistics_classification_dataset__1[[#This Row],[Shipment_Type]]="Kara","Road",IF(logistics_classification_dataset__1[[#This Row],[Shipment_Type]]="Hava","Air",IF(logistics_classification_dataset__1[[#This Row],[Shipment_Type]]="Deniz","Sea")))</f>
        <v>Road</v>
      </c>
      <c r="F365">
        <v>322.25</v>
      </c>
      <c r="G365" t="str">
        <f t="shared" si="10"/>
        <v>0–500</v>
      </c>
      <c r="H365" s="1">
        <v>1668.8</v>
      </c>
      <c r="I365" t="str">
        <f t="shared" si="11"/>
        <v>1501–2000</v>
      </c>
      <c r="J365" t="s">
        <v>11</v>
      </c>
      <c r="K365" t="str">
        <f>IF(logistics_classification_dataset__1[[#This Row],[Customer_Segment]]="Bireysel","Individual",IF(logistics_classification_dataset__1[[#This Row],[Customer_Segment]]="Kurumsal","Corporate"))</f>
        <v>Individual</v>
      </c>
      <c r="L365">
        <v>0</v>
      </c>
    </row>
    <row r="366" spans="1:12" x14ac:dyDescent="0.35">
      <c r="A366">
        <v>365</v>
      </c>
      <c r="B366" t="s">
        <v>16</v>
      </c>
      <c r="C366" t="s">
        <v>12</v>
      </c>
      <c r="D366" t="s">
        <v>10</v>
      </c>
      <c r="E366" t="str">
        <f>IF(logistics_classification_dataset__1[[#This Row],[Shipment_Type]]="Kara","Road",IF(logistics_classification_dataset__1[[#This Row],[Shipment_Type]]="Hava","Air",IF(logistics_classification_dataset__1[[#This Row],[Shipment_Type]]="Deniz","Sea")))</f>
        <v>Road</v>
      </c>
      <c r="F366">
        <v>364.49</v>
      </c>
      <c r="G366" t="str">
        <f t="shared" si="10"/>
        <v>0–500</v>
      </c>
      <c r="H366" s="1">
        <v>1899.1</v>
      </c>
      <c r="I366" t="str">
        <f t="shared" si="11"/>
        <v>1501–2000</v>
      </c>
      <c r="J366" t="s">
        <v>11</v>
      </c>
      <c r="K366" t="str">
        <f>IF(logistics_classification_dataset__1[[#This Row],[Customer_Segment]]="Bireysel","Individual",IF(logistics_classification_dataset__1[[#This Row],[Customer_Segment]]="Kurumsal","Corporate"))</f>
        <v>Individual</v>
      </c>
      <c r="L366">
        <v>1</v>
      </c>
    </row>
    <row r="367" spans="1:12" x14ac:dyDescent="0.35">
      <c r="A367">
        <v>366</v>
      </c>
      <c r="B367" t="s">
        <v>9</v>
      </c>
      <c r="C367" t="s">
        <v>22</v>
      </c>
      <c r="D367" t="s">
        <v>15</v>
      </c>
      <c r="E367" t="str">
        <f>IF(logistics_classification_dataset__1[[#This Row],[Shipment_Type]]="Kara","Road",IF(logistics_classification_dataset__1[[#This Row],[Shipment_Type]]="Hava","Air",IF(logistics_classification_dataset__1[[#This Row],[Shipment_Type]]="Deniz","Sea")))</f>
        <v>Air</v>
      </c>
      <c r="F367">
        <v>200.98</v>
      </c>
      <c r="G367" t="str">
        <f t="shared" si="10"/>
        <v>0–500</v>
      </c>
      <c r="H367" s="1">
        <v>644</v>
      </c>
      <c r="I367" t="str">
        <f t="shared" si="11"/>
        <v>501–1000</v>
      </c>
      <c r="J367" t="s">
        <v>11</v>
      </c>
      <c r="K367" t="str">
        <f>IF(logistics_classification_dataset__1[[#This Row],[Customer_Segment]]="Bireysel","Individual",IF(logistics_classification_dataset__1[[#This Row],[Customer_Segment]]="Kurumsal","Corporate"))</f>
        <v>Individual</v>
      </c>
      <c r="L367">
        <v>1</v>
      </c>
    </row>
    <row r="368" spans="1:12" x14ac:dyDescent="0.35">
      <c r="A368">
        <v>367</v>
      </c>
      <c r="B368" t="s">
        <v>13</v>
      </c>
      <c r="C368" t="s">
        <v>16</v>
      </c>
      <c r="D368" t="s">
        <v>15</v>
      </c>
      <c r="E368" t="str">
        <f>IF(logistics_classification_dataset__1[[#This Row],[Shipment_Type]]="Kara","Road",IF(logistics_classification_dataset__1[[#This Row],[Shipment_Type]]="Hava","Air",IF(logistics_classification_dataset__1[[#This Row],[Shipment_Type]]="Deniz","Sea")))</f>
        <v>Air</v>
      </c>
      <c r="F368">
        <v>1608.02</v>
      </c>
      <c r="G368" t="str">
        <f t="shared" si="10"/>
        <v>1501–2000</v>
      </c>
      <c r="H368" s="1">
        <v>565.79999999999995</v>
      </c>
      <c r="I368" t="str">
        <f t="shared" si="11"/>
        <v>501–1000</v>
      </c>
      <c r="J368" t="s">
        <v>11</v>
      </c>
      <c r="K368" t="str">
        <f>IF(logistics_classification_dataset__1[[#This Row],[Customer_Segment]]="Bireysel","Individual",IF(logistics_classification_dataset__1[[#This Row],[Customer_Segment]]="Kurumsal","Corporate"))</f>
        <v>Individual</v>
      </c>
      <c r="L368">
        <v>1</v>
      </c>
    </row>
    <row r="369" spans="1:12" x14ac:dyDescent="0.35">
      <c r="A369">
        <v>368</v>
      </c>
      <c r="B369" t="s">
        <v>16</v>
      </c>
      <c r="C369" t="s">
        <v>20</v>
      </c>
      <c r="D369" t="s">
        <v>15</v>
      </c>
      <c r="E369" t="str">
        <f>IF(logistics_classification_dataset__1[[#This Row],[Shipment_Type]]="Kara","Road",IF(logistics_classification_dataset__1[[#This Row],[Shipment_Type]]="Hava","Air",IF(logistics_classification_dataset__1[[#This Row],[Shipment_Type]]="Deniz","Sea")))</f>
        <v>Air</v>
      </c>
      <c r="F369">
        <v>248.45</v>
      </c>
      <c r="G369" t="str">
        <f t="shared" si="10"/>
        <v>0–500</v>
      </c>
      <c r="H369" s="1">
        <v>595.79999999999995</v>
      </c>
      <c r="I369" t="str">
        <f t="shared" si="11"/>
        <v>501–1000</v>
      </c>
      <c r="J369" t="s">
        <v>11</v>
      </c>
      <c r="K369" t="str">
        <f>IF(logistics_classification_dataset__1[[#This Row],[Customer_Segment]]="Bireysel","Individual",IF(logistics_classification_dataset__1[[#This Row],[Customer_Segment]]="Kurumsal","Corporate"))</f>
        <v>Individual</v>
      </c>
      <c r="L369">
        <v>1</v>
      </c>
    </row>
    <row r="370" spans="1:12" x14ac:dyDescent="0.35">
      <c r="A370">
        <v>369</v>
      </c>
      <c r="B370" t="s">
        <v>16</v>
      </c>
      <c r="C370" t="s">
        <v>9</v>
      </c>
      <c r="D370" t="s">
        <v>10</v>
      </c>
      <c r="E370" t="str">
        <f>IF(logistics_classification_dataset__1[[#This Row],[Shipment_Type]]="Kara","Road",IF(logistics_classification_dataset__1[[#This Row],[Shipment_Type]]="Hava","Air",IF(logistics_classification_dataset__1[[#This Row],[Shipment_Type]]="Deniz","Sea")))</f>
        <v>Road</v>
      </c>
      <c r="F370">
        <v>254.62</v>
      </c>
      <c r="G370" t="str">
        <f t="shared" si="10"/>
        <v>0–500</v>
      </c>
      <c r="H370" s="1">
        <v>591.6</v>
      </c>
      <c r="I370" t="str">
        <f t="shared" si="11"/>
        <v>501–1000</v>
      </c>
      <c r="J370" t="s">
        <v>11</v>
      </c>
      <c r="K370" t="str">
        <f>IF(logistics_classification_dataset__1[[#This Row],[Customer_Segment]]="Bireysel","Individual",IF(logistics_classification_dataset__1[[#This Row],[Customer_Segment]]="Kurumsal","Corporate"))</f>
        <v>Individual</v>
      </c>
      <c r="L370">
        <v>1</v>
      </c>
    </row>
    <row r="371" spans="1:12" x14ac:dyDescent="0.35">
      <c r="A371">
        <v>370</v>
      </c>
      <c r="B371" t="s">
        <v>8</v>
      </c>
      <c r="C371" t="s">
        <v>16</v>
      </c>
      <c r="D371" t="s">
        <v>10</v>
      </c>
      <c r="E371" t="str">
        <f>IF(logistics_classification_dataset__1[[#This Row],[Shipment_Type]]="Kara","Road",IF(logistics_classification_dataset__1[[#This Row],[Shipment_Type]]="Hava","Air",IF(logistics_classification_dataset__1[[#This Row],[Shipment_Type]]="Deniz","Sea")))</f>
        <v>Road</v>
      </c>
      <c r="F371">
        <v>1701.69</v>
      </c>
      <c r="G371" t="str">
        <f t="shared" si="10"/>
        <v>1501–2000</v>
      </c>
      <c r="H371" s="1">
        <v>120.1</v>
      </c>
      <c r="I371" t="str">
        <f t="shared" si="11"/>
        <v>0–500</v>
      </c>
      <c r="J371" t="s">
        <v>11</v>
      </c>
      <c r="K371" t="str">
        <f>IF(logistics_classification_dataset__1[[#This Row],[Customer_Segment]]="Bireysel","Individual",IF(logistics_classification_dataset__1[[#This Row],[Customer_Segment]]="Kurumsal","Corporate"))</f>
        <v>Individual</v>
      </c>
      <c r="L371">
        <v>0</v>
      </c>
    </row>
    <row r="372" spans="1:12" x14ac:dyDescent="0.35">
      <c r="A372">
        <v>371</v>
      </c>
      <c r="B372" t="s">
        <v>12</v>
      </c>
      <c r="C372" t="s">
        <v>20</v>
      </c>
      <c r="D372" t="s">
        <v>15</v>
      </c>
      <c r="E372" t="str">
        <f>IF(logistics_classification_dataset__1[[#This Row],[Shipment_Type]]="Kara","Road",IF(logistics_classification_dataset__1[[#This Row],[Shipment_Type]]="Hava","Air",IF(logistics_classification_dataset__1[[#This Row],[Shipment_Type]]="Deniz","Sea")))</f>
        <v>Air</v>
      </c>
      <c r="F372">
        <v>692.49</v>
      </c>
      <c r="G372" t="str">
        <f t="shared" si="10"/>
        <v>501–1000</v>
      </c>
      <c r="H372" s="1">
        <v>1857.5</v>
      </c>
      <c r="I372" t="str">
        <f t="shared" si="11"/>
        <v>1501–2000</v>
      </c>
      <c r="J372" t="s">
        <v>11</v>
      </c>
      <c r="K372" t="str">
        <f>IF(logistics_classification_dataset__1[[#This Row],[Customer_Segment]]="Bireysel","Individual",IF(logistics_classification_dataset__1[[#This Row],[Customer_Segment]]="Kurumsal","Corporate"))</f>
        <v>Individual</v>
      </c>
      <c r="L372">
        <v>1</v>
      </c>
    </row>
    <row r="373" spans="1:12" x14ac:dyDescent="0.35">
      <c r="A373">
        <v>372</v>
      </c>
      <c r="B373" t="s">
        <v>21</v>
      </c>
      <c r="C373" t="s">
        <v>9</v>
      </c>
      <c r="D373" t="s">
        <v>10</v>
      </c>
      <c r="E373" t="str">
        <f>IF(logistics_classification_dataset__1[[#This Row],[Shipment_Type]]="Kara","Road",IF(logistics_classification_dataset__1[[#This Row],[Shipment_Type]]="Hava","Air",IF(logistics_classification_dataset__1[[#This Row],[Shipment_Type]]="Deniz","Sea")))</f>
        <v>Road</v>
      </c>
      <c r="F373">
        <v>66.56</v>
      </c>
      <c r="G373" t="str">
        <f t="shared" si="10"/>
        <v>0–500</v>
      </c>
      <c r="H373" s="1">
        <v>466.7</v>
      </c>
      <c r="I373" t="str">
        <f t="shared" si="11"/>
        <v>0–500</v>
      </c>
      <c r="J373" t="s">
        <v>11</v>
      </c>
      <c r="K373" t="str">
        <f>IF(logistics_classification_dataset__1[[#This Row],[Customer_Segment]]="Bireysel","Individual",IF(logistics_classification_dataset__1[[#This Row],[Customer_Segment]]="Kurumsal","Corporate"))</f>
        <v>Individual</v>
      </c>
      <c r="L373">
        <v>1</v>
      </c>
    </row>
    <row r="374" spans="1:12" x14ac:dyDescent="0.35">
      <c r="A374">
        <v>373</v>
      </c>
      <c r="B374" t="s">
        <v>12</v>
      </c>
      <c r="C374" t="s">
        <v>20</v>
      </c>
      <c r="D374" t="s">
        <v>10</v>
      </c>
      <c r="E374" t="str">
        <f>IF(logistics_classification_dataset__1[[#This Row],[Shipment_Type]]="Kara","Road",IF(logistics_classification_dataset__1[[#This Row],[Shipment_Type]]="Hava","Air",IF(logistics_classification_dataset__1[[#This Row],[Shipment_Type]]="Deniz","Sea")))</f>
        <v>Road</v>
      </c>
      <c r="F374">
        <v>108.53</v>
      </c>
      <c r="G374" t="str">
        <f t="shared" si="10"/>
        <v>0–500</v>
      </c>
      <c r="H374" s="1">
        <v>869</v>
      </c>
      <c r="I374" t="str">
        <f t="shared" si="11"/>
        <v>501–1000</v>
      </c>
      <c r="J374" t="s">
        <v>11</v>
      </c>
      <c r="K374" t="str">
        <f>IF(logistics_classification_dataset__1[[#This Row],[Customer_Segment]]="Bireysel","Individual",IF(logistics_classification_dataset__1[[#This Row],[Customer_Segment]]="Kurumsal","Corporate"))</f>
        <v>Individual</v>
      </c>
      <c r="L374">
        <v>1</v>
      </c>
    </row>
    <row r="375" spans="1:12" x14ac:dyDescent="0.35">
      <c r="A375">
        <v>374</v>
      </c>
      <c r="B375" t="s">
        <v>18</v>
      </c>
      <c r="C375" t="s">
        <v>13</v>
      </c>
      <c r="D375" t="s">
        <v>15</v>
      </c>
      <c r="E375" t="str">
        <f>IF(logistics_classification_dataset__1[[#This Row],[Shipment_Type]]="Kara","Road",IF(logistics_classification_dataset__1[[#This Row],[Shipment_Type]]="Hava","Air",IF(logistics_classification_dataset__1[[#This Row],[Shipment_Type]]="Deniz","Sea")))</f>
        <v>Air</v>
      </c>
      <c r="F375">
        <v>288.63</v>
      </c>
      <c r="G375" t="str">
        <f t="shared" si="10"/>
        <v>0–500</v>
      </c>
      <c r="H375" s="1">
        <v>68.900000000000006</v>
      </c>
      <c r="I375" t="str">
        <f t="shared" si="11"/>
        <v>0–500</v>
      </c>
      <c r="J375" t="s">
        <v>11</v>
      </c>
      <c r="K375" t="str">
        <f>IF(logistics_classification_dataset__1[[#This Row],[Customer_Segment]]="Bireysel","Individual",IF(logistics_classification_dataset__1[[#This Row],[Customer_Segment]]="Kurumsal","Corporate"))</f>
        <v>Individual</v>
      </c>
      <c r="L375">
        <v>1</v>
      </c>
    </row>
    <row r="376" spans="1:12" x14ac:dyDescent="0.35">
      <c r="A376">
        <v>375</v>
      </c>
      <c r="B376" t="s">
        <v>8</v>
      </c>
      <c r="C376" t="s">
        <v>12</v>
      </c>
      <c r="D376" t="s">
        <v>19</v>
      </c>
      <c r="E376" t="str">
        <f>IF(logistics_classification_dataset__1[[#This Row],[Shipment_Type]]="Kara","Road",IF(logistics_classification_dataset__1[[#This Row],[Shipment_Type]]="Hava","Air",IF(logistics_classification_dataset__1[[#This Row],[Shipment_Type]]="Deniz","Sea")))</f>
        <v>Sea</v>
      </c>
      <c r="F376">
        <v>430.72</v>
      </c>
      <c r="G376" t="str">
        <f t="shared" si="10"/>
        <v>0–500</v>
      </c>
      <c r="H376" s="1">
        <v>1723</v>
      </c>
      <c r="I376" t="str">
        <f t="shared" si="11"/>
        <v>1501–2000</v>
      </c>
      <c r="J376" t="s">
        <v>11</v>
      </c>
      <c r="K376" t="str">
        <f>IF(logistics_classification_dataset__1[[#This Row],[Customer_Segment]]="Bireysel","Individual",IF(logistics_classification_dataset__1[[#This Row],[Customer_Segment]]="Kurumsal","Corporate"))</f>
        <v>Individual</v>
      </c>
      <c r="L376">
        <v>1</v>
      </c>
    </row>
    <row r="377" spans="1:12" x14ac:dyDescent="0.35">
      <c r="A377">
        <v>376</v>
      </c>
      <c r="B377" t="s">
        <v>13</v>
      </c>
      <c r="C377" t="s">
        <v>17</v>
      </c>
      <c r="D377" t="s">
        <v>15</v>
      </c>
      <c r="E377" t="str">
        <f>IF(logistics_classification_dataset__1[[#This Row],[Shipment_Type]]="Kara","Road",IF(logistics_classification_dataset__1[[#This Row],[Shipment_Type]]="Hava","Air",IF(logistics_classification_dataset__1[[#This Row],[Shipment_Type]]="Deniz","Sea")))</f>
        <v>Air</v>
      </c>
      <c r="F377">
        <v>1331.97</v>
      </c>
      <c r="G377" t="str">
        <f t="shared" si="10"/>
        <v>1001–1500</v>
      </c>
      <c r="H377" s="1">
        <v>1475.8</v>
      </c>
      <c r="I377" t="str">
        <f t="shared" si="11"/>
        <v>1001–1500</v>
      </c>
      <c r="J377" t="s">
        <v>11</v>
      </c>
      <c r="K377" t="str">
        <f>IF(logistics_classification_dataset__1[[#This Row],[Customer_Segment]]="Bireysel","Individual",IF(logistics_classification_dataset__1[[#This Row],[Customer_Segment]]="Kurumsal","Corporate"))</f>
        <v>Individual</v>
      </c>
      <c r="L377">
        <v>1</v>
      </c>
    </row>
    <row r="378" spans="1:12" x14ac:dyDescent="0.35">
      <c r="A378">
        <v>377</v>
      </c>
      <c r="B378" t="s">
        <v>12</v>
      </c>
      <c r="C378" t="s">
        <v>16</v>
      </c>
      <c r="D378" t="s">
        <v>15</v>
      </c>
      <c r="E378" t="str">
        <f>IF(logistics_classification_dataset__1[[#This Row],[Shipment_Type]]="Kara","Road",IF(logistics_classification_dataset__1[[#This Row],[Shipment_Type]]="Hava","Air",IF(logistics_classification_dataset__1[[#This Row],[Shipment_Type]]="Deniz","Sea")))</f>
        <v>Air</v>
      </c>
      <c r="F378">
        <v>318.87</v>
      </c>
      <c r="G378" t="str">
        <f t="shared" si="10"/>
        <v>0–500</v>
      </c>
      <c r="H378" s="1">
        <v>1896.2</v>
      </c>
      <c r="I378" t="str">
        <f t="shared" si="11"/>
        <v>1501–2000</v>
      </c>
      <c r="J378" t="s">
        <v>11</v>
      </c>
      <c r="K378" t="str">
        <f>IF(logistics_classification_dataset__1[[#This Row],[Customer_Segment]]="Bireysel","Individual",IF(logistics_classification_dataset__1[[#This Row],[Customer_Segment]]="Kurumsal","Corporate"))</f>
        <v>Individual</v>
      </c>
      <c r="L378">
        <v>1</v>
      </c>
    </row>
    <row r="379" spans="1:12" x14ac:dyDescent="0.35">
      <c r="A379">
        <v>378</v>
      </c>
      <c r="B379" t="s">
        <v>22</v>
      </c>
      <c r="C379" t="s">
        <v>16</v>
      </c>
      <c r="D379" t="s">
        <v>19</v>
      </c>
      <c r="E379" t="str">
        <f>IF(logistics_classification_dataset__1[[#This Row],[Shipment_Type]]="Kara","Road",IF(logistics_classification_dataset__1[[#This Row],[Shipment_Type]]="Hava","Air",IF(logistics_classification_dataset__1[[#This Row],[Shipment_Type]]="Deniz","Sea")))</f>
        <v>Sea</v>
      </c>
      <c r="F379">
        <v>242.15</v>
      </c>
      <c r="G379" t="str">
        <f t="shared" si="10"/>
        <v>0–500</v>
      </c>
      <c r="H379" s="1">
        <v>1574.2</v>
      </c>
      <c r="I379" t="str">
        <f t="shared" si="11"/>
        <v>1501–2000</v>
      </c>
      <c r="J379" t="s">
        <v>11</v>
      </c>
      <c r="K379" t="str">
        <f>IF(logistics_classification_dataset__1[[#This Row],[Customer_Segment]]="Bireysel","Individual",IF(logistics_classification_dataset__1[[#This Row],[Customer_Segment]]="Kurumsal","Corporate"))</f>
        <v>Individual</v>
      </c>
      <c r="L379">
        <v>1</v>
      </c>
    </row>
    <row r="380" spans="1:12" x14ac:dyDescent="0.35">
      <c r="A380">
        <v>379</v>
      </c>
      <c r="B380" t="s">
        <v>17</v>
      </c>
      <c r="C380" t="s">
        <v>21</v>
      </c>
      <c r="D380" t="s">
        <v>10</v>
      </c>
      <c r="E380" t="str">
        <f>IF(logistics_classification_dataset__1[[#This Row],[Shipment_Type]]="Kara","Road",IF(logistics_classification_dataset__1[[#This Row],[Shipment_Type]]="Hava","Air",IF(logistics_classification_dataset__1[[#This Row],[Shipment_Type]]="Deniz","Sea")))</f>
        <v>Road</v>
      </c>
      <c r="F380">
        <v>1530.61</v>
      </c>
      <c r="G380" t="str">
        <f t="shared" si="10"/>
        <v>1501–2000</v>
      </c>
      <c r="H380" s="1">
        <v>661.7</v>
      </c>
      <c r="I380" t="str">
        <f t="shared" si="11"/>
        <v>501–1000</v>
      </c>
      <c r="J380" t="s">
        <v>11</v>
      </c>
      <c r="K380" t="str">
        <f>IF(logistics_classification_dataset__1[[#This Row],[Customer_Segment]]="Bireysel","Individual",IF(logistics_classification_dataset__1[[#This Row],[Customer_Segment]]="Kurumsal","Corporate"))</f>
        <v>Individual</v>
      </c>
      <c r="L380">
        <v>1</v>
      </c>
    </row>
    <row r="381" spans="1:12" x14ac:dyDescent="0.35">
      <c r="A381">
        <v>380</v>
      </c>
      <c r="B381" t="s">
        <v>18</v>
      </c>
      <c r="C381" t="s">
        <v>8</v>
      </c>
      <c r="D381" t="s">
        <v>10</v>
      </c>
      <c r="E381" t="str">
        <f>IF(logistics_classification_dataset__1[[#This Row],[Shipment_Type]]="Kara","Road",IF(logistics_classification_dataset__1[[#This Row],[Shipment_Type]]="Hava","Air",IF(logistics_classification_dataset__1[[#This Row],[Shipment_Type]]="Deniz","Sea")))</f>
        <v>Road</v>
      </c>
      <c r="F381">
        <v>1343.76</v>
      </c>
      <c r="G381" t="str">
        <f t="shared" si="10"/>
        <v>1001–1500</v>
      </c>
      <c r="H381" s="1">
        <v>533.4</v>
      </c>
      <c r="I381" t="str">
        <f t="shared" si="11"/>
        <v>501–1000</v>
      </c>
      <c r="J381" t="s">
        <v>11</v>
      </c>
      <c r="K381" t="str">
        <f>IF(logistics_classification_dataset__1[[#This Row],[Customer_Segment]]="Bireysel","Individual",IF(logistics_classification_dataset__1[[#This Row],[Customer_Segment]]="Kurumsal","Corporate"))</f>
        <v>Individual</v>
      </c>
      <c r="L381">
        <v>1</v>
      </c>
    </row>
    <row r="382" spans="1:12" x14ac:dyDescent="0.35">
      <c r="A382">
        <v>381</v>
      </c>
      <c r="B382" t="s">
        <v>9</v>
      </c>
      <c r="C382" t="s">
        <v>13</v>
      </c>
      <c r="D382" t="s">
        <v>19</v>
      </c>
      <c r="E382" t="str">
        <f>IF(logistics_classification_dataset__1[[#This Row],[Shipment_Type]]="Kara","Road",IF(logistics_classification_dataset__1[[#This Row],[Shipment_Type]]="Hava","Air",IF(logistics_classification_dataset__1[[#This Row],[Shipment_Type]]="Deniz","Sea")))</f>
        <v>Sea</v>
      </c>
      <c r="F382">
        <v>873.47</v>
      </c>
      <c r="G382" t="str">
        <f t="shared" si="10"/>
        <v>501–1000</v>
      </c>
      <c r="H382" s="1">
        <v>1410.5</v>
      </c>
      <c r="I382" t="str">
        <f t="shared" si="11"/>
        <v>1001–1500</v>
      </c>
      <c r="J382" t="s">
        <v>11</v>
      </c>
      <c r="K382" t="str">
        <f>IF(logistics_classification_dataset__1[[#This Row],[Customer_Segment]]="Bireysel","Individual",IF(logistics_classification_dataset__1[[#This Row],[Customer_Segment]]="Kurumsal","Corporate"))</f>
        <v>Individual</v>
      </c>
      <c r="L382">
        <v>1</v>
      </c>
    </row>
    <row r="383" spans="1:12" x14ac:dyDescent="0.35">
      <c r="A383">
        <v>382</v>
      </c>
      <c r="B383" t="s">
        <v>13</v>
      </c>
      <c r="C383" t="s">
        <v>18</v>
      </c>
      <c r="D383" t="s">
        <v>10</v>
      </c>
      <c r="E383" t="str">
        <f>IF(logistics_classification_dataset__1[[#This Row],[Shipment_Type]]="Kara","Road",IF(logistics_classification_dataset__1[[#This Row],[Shipment_Type]]="Hava","Air",IF(logistics_classification_dataset__1[[#This Row],[Shipment_Type]]="Deniz","Sea")))</f>
        <v>Road</v>
      </c>
      <c r="F383">
        <v>1100.8699999999999</v>
      </c>
      <c r="G383" t="str">
        <f t="shared" si="10"/>
        <v>1001–1500</v>
      </c>
      <c r="H383" s="1">
        <v>760</v>
      </c>
      <c r="I383" t="str">
        <f t="shared" si="11"/>
        <v>501–1000</v>
      </c>
      <c r="J383" t="s">
        <v>11</v>
      </c>
      <c r="K383" t="str">
        <f>IF(logistics_classification_dataset__1[[#This Row],[Customer_Segment]]="Bireysel","Individual",IF(logistics_classification_dataset__1[[#This Row],[Customer_Segment]]="Kurumsal","Corporate"))</f>
        <v>Individual</v>
      </c>
      <c r="L383">
        <v>1</v>
      </c>
    </row>
    <row r="384" spans="1:12" x14ac:dyDescent="0.35">
      <c r="A384">
        <v>383</v>
      </c>
      <c r="B384" t="s">
        <v>18</v>
      </c>
      <c r="C384" t="s">
        <v>22</v>
      </c>
      <c r="D384" t="s">
        <v>15</v>
      </c>
      <c r="E384" t="str">
        <f>IF(logistics_classification_dataset__1[[#This Row],[Shipment_Type]]="Kara","Road",IF(logistics_classification_dataset__1[[#This Row],[Shipment_Type]]="Hava","Air",IF(logistics_classification_dataset__1[[#This Row],[Shipment_Type]]="Deniz","Sea")))</f>
        <v>Air</v>
      </c>
      <c r="F384">
        <v>627.41</v>
      </c>
      <c r="G384" t="str">
        <f t="shared" si="10"/>
        <v>501–1000</v>
      </c>
      <c r="H384" s="1">
        <v>1154.0999999999999</v>
      </c>
      <c r="I384" t="str">
        <f t="shared" si="11"/>
        <v>1001–1500</v>
      </c>
      <c r="J384" t="s">
        <v>14</v>
      </c>
      <c r="K384" t="str">
        <f>IF(logistics_classification_dataset__1[[#This Row],[Customer_Segment]]="Bireysel","Individual",IF(logistics_classification_dataset__1[[#This Row],[Customer_Segment]]="Kurumsal","Corporate"))</f>
        <v>Corporate</v>
      </c>
      <c r="L384">
        <v>1</v>
      </c>
    </row>
    <row r="385" spans="1:12" x14ac:dyDescent="0.35">
      <c r="A385">
        <v>384</v>
      </c>
      <c r="B385" t="s">
        <v>17</v>
      </c>
      <c r="C385" t="s">
        <v>20</v>
      </c>
      <c r="D385" t="s">
        <v>10</v>
      </c>
      <c r="E385" t="str">
        <f>IF(logistics_classification_dataset__1[[#This Row],[Shipment_Type]]="Kara","Road",IF(logistics_classification_dataset__1[[#This Row],[Shipment_Type]]="Hava","Air",IF(logistics_classification_dataset__1[[#This Row],[Shipment_Type]]="Deniz","Sea")))</f>
        <v>Road</v>
      </c>
      <c r="F385">
        <v>967.59</v>
      </c>
      <c r="G385" t="str">
        <f t="shared" si="10"/>
        <v>501–1000</v>
      </c>
      <c r="H385" s="1">
        <v>62.2</v>
      </c>
      <c r="I385" t="str">
        <f t="shared" si="11"/>
        <v>0–500</v>
      </c>
      <c r="J385" t="s">
        <v>11</v>
      </c>
      <c r="K385" t="str">
        <f>IF(logistics_classification_dataset__1[[#This Row],[Customer_Segment]]="Bireysel","Individual",IF(logistics_classification_dataset__1[[#This Row],[Customer_Segment]]="Kurumsal","Corporate"))</f>
        <v>Individual</v>
      </c>
      <c r="L385">
        <v>1</v>
      </c>
    </row>
    <row r="386" spans="1:12" x14ac:dyDescent="0.35">
      <c r="A386">
        <v>385</v>
      </c>
      <c r="B386" t="s">
        <v>8</v>
      </c>
      <c r="C386" t="s">
        <v>17</v>
      </c>
      <c r="D386" t="s">
        <v>10</v>
      </c>
      <c r="E386" t="str">
        <f>IF(logistics_classification_dataset__1[[#This Row],[Shipment_Type]]="Kara","Road",IF(logistics_classification_dataset__1[[#This Row],[Shipment_Type]]="Hava","Air",IF(logistics_classification_dataset__1[[#This Row],[Shipment_Type]]="Deniz","Sea")))</f>
        <v>Road</v>
      </c>
      <c r="F386">
        <v>1015.81</v>
      </c>
      <c r="G386" t="str">
        <f t="shared" ref="G386:G449" si="12">IF(F386&lt;=500,"0–500",IF(F386&lt;=1000,"501–1000",IF(F386&lt;=1500,"1001–1500","1501–2000")))</f>
        <v>1001–1500</v>
      </c>
      <c r="H386" s="1">
        <v>170.7</v>
      </c>
      <c r="I386" t="str">
        <f t="shared" ref="I386:I449" si="13">IF(H386&lt;=500,"0–500",IF(H386&lt;=1000,"501–1000",IF(H386&lt;=1500,"1001–1500",IF(H386&lt;=2000,"1501–2000","&gt;2000"))))</f>
        <v>0–500</v>
      </c>
      <c r="J386" t="s">
        <v>14</v>
      </c>
      <c r="K386" t="str">
        <f>IF(logistics_classification_dataset__1[[#This Row],[Customer_Segment]]="Bireysel","Individual",IF(logistics_classification_dataset__1[[#This Row],[Customer_Segment]]="Kurumsal","Corporate"))</f>
        <v>Corporate</v>
      </c>
      <c r="L386">
        <v>1</v>
      </c>
    </row>
    <row r="387" spans="1:12" x14ac:dyDescent="0.35">
      <c r="A387">
        <v>386</v>
      </c>
      <c r="B387" t="s">
        <v>17</v>
      </c>
      <c r="C387" t="s">
        <v>12</v>
      </c>
      <c r="D387" t="s">
        <v>15</v>
      </c>
      <c r="E387" t="str">
        <f>IF(logistics_classification_dataset__1[[#This Row],[Shipment_Type]]="Kara","Road",IF(logistics_classification_dataset__1[[#This Row],[Shipment_Type]]="Hava","Air",IF(logistics_classification_dataset__1[[#This Row],[Shipment_Type]]="Deniz","Sea")))</f>
        <v>Air</v>
      </c>
      <c r="F387">
        <v>777.54</v>
      </c>
      <c r="G387" t="str">
        <f t="shared" si="12"/>
        <v>501–1000</v>
      </c>
      <c r="H387" s="1">
        <v>1094</v>
      </c>
      <c r="I387" t="str">
        <f t="shared" si="13"/>
        <v>1001–1500</v>
      </c>
      <c r="J387" t="s">
        <v>11</v>
      </c>
      <c r="K387" t="str">
        <f>IF(logistics_classification_dataset__1[[#This Row],[Customer_Segment]]="Bireysel","Individual",IF(logistics_classification_dataset__1[[#This Row],[Customer_Segment]]="Kurumsal","Corporate"))</f>
        <v>Individual</v>
      </c>
      <c r="L387">
        <v>0</v>
      </c>
    </row>
    <row r="388" spans="1:12" x14ac:dyDescent="0.35">
      <c r="A388">
        <v>387</v>
      </c>
      <c r="B388" t="s">
        <v>16</v>
      </c>
      <c r="C388" t="s">
        <v>12</v>
      </c>
      <c r="D388" t="s">
        <v>19</v>
      </c>
      <c r="E388" t="str">
        <f>IF(logistics_classification_dataset__1[[#This Row],[Shipment_Type]]="Kara","Road",IF(logistics_classification_dataset__1[[#This Row],[Shipment_Type]]="Hava","Air",IF(logistics_classification_dataset__1[[#This Row],[Shipment_Type]]="Deniz","Sea")))</f>
        <v>Sea</v>
      </c>
      <c r="F388">
        <v>1813.61</v>
      </c>
      <c r="G388" t="str">
        <f t="shared" si="12"/>
        <v>1501–2000</v>
      </c>
      <c r="H388" s="1">
        <v>1153.8</v>
      </c>
      <c r="I388" t="str">
        <f t="shared" si="13"/>
        <v>1001–1500</v>
      </c>
      <c r="J388" t="s">
        <v>11</v>
      </c>
      <c r="K388" t="str">
        <f>IF(logistics_classification_dataset__1[[#This Row],[Customer_Segment]]="Bireysel","Individual",IF(logistics_classification_dataset__1[[#This Row],[Customer_Segment]]="Kurumsal","Corporate"))</f>
        <v>Individual</v>
      </c>
      <c r="L388">
        <v>1</v>
      </c>
    </row>
    <row r="389" spans="1:12" x14ac:dyDescent="0.35">
      <c r="A389">
        <v>388</v>
      </c>
      <c r="B389" t="s">
        <v>17</v>
      </c>
      <c r="C389" t="s">
        <v>13</v>
      </c>
      <c r="D389" t="s">
        <v>15</v>
      </c>
      <c r="E389" t="str">
        <f>IF(logistics_classification_dataset__1[[#This Row],[Shipment_Type]]="Kara","Road",IF(logistics_classification_dataset__1[[#This Row],[Shipment_Type]]="Hava","Air",IF(logistics_classification_dataset__1[[#This Row],[Shipment_Type]]="Deniz","Sea")))</f>
        <v>Air</v>
      </c>
      <c r="F389">
        <v>37.04</v>
      </c>
      <c r="G389" t="str">
        <f t="shared" si="12"/>
        <v>0–500</v>
      </c>
      <c r="H389" s="1">
        <v>1515.3</v>
      </c>
      <c r="I389" t="str">
        <f t="shared" si="13"/>
        <v>1501–2000</v>
      </c>
      <c r="J389" t="s">
        <v>11</v>
      </c>
      <c r="K389" t="str">
        <f>IF(logistics_classification_dataset__1[[#This Row],[Customer_Segment]]="Bireysel","Individual",IF(logistics_classification_dataset__1[[#This Row],[Customer_Segment]]="Kurumsal","Corporate"))</f>
        <v>Individual</v>
      </c>
      <c r="L389">
        <v>0</v>
      </c>
    </row>
    <row r="390" spans="1:12" x14ac:dyDescent="0.35">
      <c r="A390">
        <v>389</v>
      </c>
      <c r="B390" t="s">
        <v>16</v>
      </c>
      <c r="C390" t="s">
        <v>12</v>
      </c>
      <c r="D390" t="s">
        <v>10</v>
      </c>
      <c r="E390" t="str">
        <f>IF(logistics_classification_dataset__1[[#This Row],[Shipment_Type]]="Kara","Road",IF(logistics_classification_dataset__1[[#This Row],[Shipment_Type]]="Hava","Air",IF(logistics_classification_dataset__1[[#This Row],[Shipment_Type]]="Deniz","Sea")))</f>
        <v>Road</v>
      </c>
      <c r="F390">
        <v>1565.43</v>
      </c>
      <c r="G390" t="str">
        <f t="shared" si="12"/>
        <v>1501–2000</v>
      </c>
      <c r="H390" s="1">
        <v>307.3</v>
      </c>
      <c r="I390" t="str">
        <f t="shared" si="13"/>
        <v>0–500</v>
      </c>
      <c r="J390" t="s">
        <v>11</v>
      </c>
      <c r="K390" t="str">
        <f>IF(logistics_classification_dataset__1[[#This Row],[Customer_Segment]]="Bireysel","Individual",IF(logistics_classification_dataset__1[[#This Row],[Customer_Segment]]="Kurumsal","Corporate"))</f>
        <v>Individual</v>
      </c>
      <c r="L390">
        <v>1</v>
      </c>
    </row>
    <row r="391" spans="1:12" x14ac:dyDescent="0.35">
      <c r="A391">
        <v>390</v>
      </c>
      <c r="B391" t="s">
        <v>8</v>
      </c>
      <c r="C391" t="s">
        <v>21</v>
      </c>
      <c r="D391" t="s">
        <v>15</v>
      </c>
      <c r="E391" t="str">
        <f>IF(logistics_classification_dataset__1[[#This Row],[Shipment_Type]]="Kara","Road",IF(logistics_classification_dataset__1[[#This Row],[Shipment_Type]]="Hava","Air",IF(logistics_classification_dataset__1[[#This Row],[Shipment_Type]]="Deniz","Sea")))</f>
        <v>Air</v>
      </c>
      <c r="F391">
        <v>253.14</v>
      </c>
      <c r="G391" t="str">
        <f t="shared" si="12"/>
        <v>0–500</v>
      </c>
      <c r="H391" s="1">
        <v>1050.7</v>
      </c>
      <c r="I391" t="str">
        <f t="shared" si="13"/>
        <v>1001–1500</v>
      </c>
      <c r="J391" t="s">
        <v>11</v>
      </c>
      <c r="K391" t="str">
        <f>IF(logistics_classification_dataset__1[[#This Row],[Customer_Segment]]="Bireysel","Individual",IF(logistics_classification_dataset__1[[#This Row],[Customer_Segment]]="Kurumsal","Corporate"))</f>
        <v>Individual</v>
      </c>
      <c r="L391">
        <v>1</v>
      </c>
    </row>
    <row r="392" spans="1:12" x14ac:dyDescent="0.35">
      <c r="A392">
        <v>391</v>
      </c>
      <c r="B392" t="s">
        <v>20</v>
      </c>
      <c r="C392" t="s">
        <v>16</v>
      </c>
      <c r="D392" t="s">
        <v>10</v>
      </c>
      <c r="E392" t="str">
        <f>IF(logistics_classification_dataset__1[[#This Row],[Shipment_Type]]="Kara","Road",IF(logistics_classification_dataset__1[[#This Row],[Shipment_Type]]="Hava","Air",IF(logistics_classification_dataset__1[[#This Row],[Shipment_Type]]="Deniz","Sea")))</f>
        <v>Road</v>
      </c>
      <c r="F392">
        <v>1596.11</v>
      </c>
      <c r="G392" t="str">
        <f t="shared" si="12"/>
        <v>1501–2000</v>
      </c>
      <c r="H392" s="1">
        <v>429.2</v>
      </c>
      <c r="I392" t="str">
        <f t="shared" si="13"/>
        <v>0–500</v>
      </c>
      <c r="J392" t="s">
        <v>11</v>
      </c>
      <c r="K392" t="str">
        <f>IF(logistics_classification_dataset__1[[#This Row],[Customer_Segment]]="Bireysel","Individual",IF(logistics_classification_dataset__1[[#This Row],[Customer_Segment]]="Kurumsal","Corporate"))</f>
        <v>Individual</v>
      </c>
      <c r="L392">
        <v>1</v>
      </c>
    </row>
    <row r="393" spans="1:12" x14ac:dyDescent="0.35">
      <c r="A393">
        <v>392</v>
      </c>
      <c r="B393" t="s">
        <v>16</v>
      </c>
      <c r="C393" t="s">
        <v>18</v>
      </c>
      <c r="D393" t="s">
        <v>10</v>
      </c>
      <c r="E393" t="str">
        <f>IF(logistics_classification_dataset__1[[#This Row],[Shipment_Type]]="Kara","Road",IF(logistics_classification_dataset__1[[#This Row],[Shipment_Type]]="Hava","Air",IF(logistics_classification_dataset__1[[#This Row],[Shipment_Type]]="Deniz","Sea")))</f>
        <v>Road</v>
      </c>
      <c r="F393">
        <v>1233.74</v>
      </c>
      <c r="G393" t="str">
        <f t="shared" si="12"/>
        <v>1001–1500</v>
      </c>
      <c r="H393" s="1">
        <v>231.7</v>
      </c>
      <c r="I393" t="str">
        <f t="shared" si="13"/>
        <v>0–500</v>
      </c>
      <c r="J393" t="s">
        <v>11</v>
      </c>
      <c r="K393" t="str">
        <f>IF(logistics_classification_dataset__1[[#This Row],[Customer_Segment]]="Bireysel","Individual",IF(logistics_classification_dataset__1[[#This Row],[Customer_Segment]]="Kurumsal","Corporate"))</f>
        <v>Individual</v>
      </c>
      <c r="L393">
        <v>0</v>
      </c>
    </row>
    <row r="394" spans="1:12" x14ac:dyDescent="0.35">
      <c r="A394">
        <v>393</v>
      </c>
      <c r="B394" t="s">
        <v>9</v>
      </c>
      <c r="C394" t="s">
        <v>17</v>
      </c>
      <c r="D394" t="s">
        <v>10</v>
      </c>
      <c r="E394" t="str">
        <f>IF(logistics_classification_dataset__1[[#This Row],[Shipment_Type]]="Kara","Road",IF(logistics_classification_dataset__1[[#This Row],[Shipment_Type]]="Hava","Air",IF(logistics_classification_dataset__1[[#This Row],[Shipment_Type]]="Deniz","Sea")))</f>
        <v>Road</v>
      </c>
      <c r="F394">
        <v>1687.34</v>
      </c>
      <c r="G394" t="str">
        <f t="shared" si="12"/>
        <v>1501–2000</v>
      </c>
      <c r="H394" s="1">
        <v>850.5</v>
      </c>
      <c r="I394" t="str">
        <f t="shared" si="13"/>
        <v>501–1000</v>
      </c>
      <c r="J394" t="s">
        <v>11</v>
      </c>
      <c r="K394" t="str">
        <f>IF(logistics_classification_dataset__1[[#This Row],[Customer_Segment]]="Bireysel","Individual",IF(logistics_classification_dataset__1[[#This Row],[Customer_Segment]]="Kurumsal","Corporate"))</f>
        <v>Individual</v>
      </c>
      <c r="L394">
        <v>1</v>
      </c>
    </row>
    <row r="395" spans="1:12" x14ac:dyDescent="0.35">
      <c r="A395">
        <v>394</v>
      </c>
      <c r="B395" t="s">
        <v>17</v>
      </c>
      <c r="C395" t="s">
        <v>22</v>
      </c>
      <c r="D395" t="s">
        <v>10</v>
      </c>
      <c r="E395" t="str">
        <f>IF(logistics_classification_dataset__1[[#This Row],[Shipment_Type]]="Kara","Road",IF(logistics_classification_dataset__1[[#This Row],[Shipment_Type]]="Hava","Air",IF(logistics_classification_dataset__1[[#This Row],[Shipment_Type]]="Deniz","Sea")))</f>
        <v>Road</v>
      </c>
      <c r="F395">
        <v>199.54</v>
      </c>
      <c r="G395" t="str">
        <f t="shared" si="12"/>
        <v>0–500</v>
      </c>
      <c r="H395" s="1">
        <v>368.5</v>
      </c>
      <c r="I395" t="str">
        <f t="shared" si="13"/>
        <v>0–500</v>
      </c>
      <c r="J395" t="s">
        <v>11</v>
      </c>
      <c r="K395" t="str">
        <f>IF(logistics_classification_dataset__1[[#This Row],[Customer_Segment]]="Bireysel","Individual",IF(logistics_classification_dataset__1[[#This Row],[Customer_Segment]]="Kurumsal","Corporate"))</f>
        <v>Individual</v>
      </c>
      <c r="L395">
        <v>1</v>
      </c>
    </row>
    <row r="396" spans="1:12" x14ac:dyDescent="0.35">
      <c r="A396">
        <v>395</v>
      </c>
      <c r="B396" t="s">
        <v>17</v>
      </c>
      <c r="C396" t="s">
        <v>20</v>
      </c>
      <c r="D396" t="s">
        <v>10</v>
      </c>
      <c r="E396" t="str">
        <f>IF(logistics_classification_dataset__1[[#This Row],[Shipment_Type]]="Kara","Road",IF(logistics_classification_dataset__1[[#This Row],[Shipment_Type]]="Hava","Air",IF(logistics_classification_dataset__1[[#This Row],[Shipment_Type]]="Deniz","Sea")))</f>
        <v>Road</v>
      </c>
      <c r="F396">
        <v>1120.17</v>
      </c>
      <c r="G396" t="str">
        <f t="shared" si="12"/>
        <v>1001–1500</v>
      </c>
      <c r="H396" s="1">
        <v>482.5</v>
      </c>
      <c r="I396" t="str">
        <f t="shared" si="13"/>
        <v>0–500</v>
      </c>
      <c r="J396" t="s">
        <v>11</v>
      </c>
      <c r="K396" t="str">
        <f>IF(logistics_classification_dataset__1[[#This Row],[Customer_Segment]]="Bireysel","Individual",IF(logistics_classification_dataset__1[[#This Row],[Customer_Segment]]="Kurumsal","Corporate"))</f>
        <v>Individual</v>
      </c>
      <c r="L396">
        <v>0</v>
      </c>
    </row>
    <row r="397" spans="1:12" x14ac:dyDescent="0.35">
      <c r="A397">
        <v>396</v>
      </c>
      <c r="B397" t="s">
        <v>9</v>
      </c>
      <c r="C397" t="s">
        <v>17</v>
      </c>
      <c r="D397" t="s">
        <v>19</v>
      </c>
      <c r="E397" t="str">
        <f>IF(logistics_classification_dataset__1[[#This Row],[Shipment_Type]]="Kara","Road",IF(logistics_classification_dataset__1[[#This Row],[Shipment_Type]]="Hava","Air",IF(logistics_classification_dataset__1[[#This Row],[Shipment_Type]]="Deniz","Sea")))</f>
        <v>Sea</v>
      </c>
      <c r="F397">
        <v>1004.67</v>
      </c>
      <c r="G397" t="str">
        <f t="shared" si="12"/>
        <v>1001–1500</v>
      </c>
      <c r="H397" s="1">
        <v>669.2</v>
      </c>
      <c r="I397" t="str">
        <f t="shared" si="13"/>
        <v>501–1000</v>
      </c>
      <c r="J397" t="s">
        <v>11</v>
      </c>
      <c r="K397" t="str">
        <f>IF(logistics_classification_dataset__1[[#This Row],[Customer_Segment]]="Bireysel","Individual",IF(logistics_classification_dataset__1[[#This Row],[Customer_Segment]]="Kurumsal","Corporate"))</f>
        <v>Individual</v>
      </c>
      <c r="L397">
        <v>1</v>
      </c>
    </row>
    <row r="398" spans="1:12" x14ac:dyDescent="0.35">
      <c r="A398">
        <v>397</v>
      </c>
      <c r="B398" t="s">
        <v>22</v>
      </c>
      <c r="C398" t="s">
        <v>20</v>
      </c>
      <c r="D398" t="s">
        <v>15</v>
      </c>
      <c r="E398" t="str">
        <f>IF(logistics_classification_dataset__1[[#This Row],[Shipment_Type]]="Kara","Road",IF(logistics_classification_dataset__1[[#This Row],[Shipment_Type]]="Hava","Air",IF(logistics_classification_dataset__1[[#This Row],[Shipment_Type]]="Deniz","Sea")))</f>
        <v>Air</v>
      </c>
      <c r="F398">
        <v>1413.86</v>
      </c>
      <c r="G398" t="str">
        <f t="shared" si="12"/>
        <v>1001–1500</v>
      </c>
      <c r="H398" s="1">
        <v>555.79999999999995</v>
      </c>
      <c r="I398" t="str">
        <f t="shared" si="13"/>
        <v>501–1000</v>
      </c>
      <c r="J398" t="s">
        <v>11</v>
      </c>
      <c r="K398" t="str">
        <f>IF(logistics_classification_dataset__1[[#This Row],[Customer_Segment]]="Bireysel","Individual",IF(logistics_classification_dataset__1[[#This Row],[Customer_Segment]]="Kurumsal","Corporate"))</f>
        <v>Individual</v>
      </c>
      <c r="L398">
        <v>1</v>
      </c>
    </row>
    <row r="399" spans="1:12" x14ac:dyDescent="0.35">
      <c r="A399">
        <v>398</v>
      </c>
      <c r="B399" t="s">
        <v>21</v>
      </c>
      <c r="C399" t="s">
        <v>9</v>
      </c>
      <c r="D399" t="s">
        <v>15</v>
      </c>
      <c r="E399" t="str">
        <f>IF(logistics_classification_dataset__1[[#This Row],[Shipment_Type]]="Kara","Road",IF(logistics_classification_dataset__1[[#This Row],[Shipment_Type]]="Hava","Air",IF(logistics_classification_dataset__1[[#This Row],[Shipment_Type]]="Deniz","Sea")))</f>
        <v>Air</v>
      </c>
      <c r="F399">
        <v>1070.9100000000001</v>
      </c>
      <c r="G399" t="str">
        <f t="shared" si="12"/>
        <v>1001–1500</v>
      </c>
      <c r="H399" s="1">
        <v>220.8</v>
      </c>
      <c r="I399" t="str">
        <f t="shared" si="13"/>
        <v>0–500</v>
      </c>
      <c r="J399" t="s">
        <v>14</v>
      </c>
      <c r="K399" t="str">
        <f>IF(logistics_classification_dataset__1[[#This Row],[Customer_Segment]]="Bireysel","Individual",IF(logistics_classification_dataset__1[[#This Row],[Customer_Segment]]="Kurumsal","Corporate"))</f>
        <v>Corporate</v>
      </c>
      <c r="L399">
        <v>1</v>
      </c>
    </row>
    <row r="400" spans="1:12" x14ac:dyDescent="0.35">
      <c r="A400">
        <v>399</v>
      </c>
      <c r="B400" t="s">
        <v>20</v>
      </c>
      <c r="C400" t="s">
        <v>17</v>
      </c>
      <c r="D400" t="s">
        <v>10</v>
      </c>
      <c r="E400" t="str">
        <f>IF(logistics_classification_dataset__1[[#This Row],[Shipment_Type]]="Kara","Road",IF(logistics_classification_dataset__1[[#This Row],[Shipment_Type]]="Hava","Air",IF(logistics_classification_dataset__1[[#This Row],[Shipment_Type]]="Deniz","Sea")))</f>
        <v>Road</v>
      </c>
      <c r="F400">
        <v>1083.77</v>
      </c>
      <c r="G400" t="str">
        <f t="shared" si="12"/>
        <v>1001–1500</v>
      </c>
      <c r="H400" s="1">
        <v>225.3</v>
      </c>
      <c r="I400" t="str">
        <f t="shared" si="13"/>
        <v>0–500</v>
      </c>
      <c r="J400" t="s">
        <v>14</v>
      </c>
      <c r="K400" t="str">
        <f>IF(logistics_classification_dataset__1[[#This Row],[Customer_Segment]]="Bireysel","Individual",IF(logistics_classification_dataset__1[[#This Row],[Customer_Segment]]="Kurumsal","Corporate"))</f>
        <v>Corporate</v>
      </c>
      <c r="L400">
        <v>1</v>
      </c>
    </row>
    <row r="401" spans="1:12" x14ac:dyDescent="0.35">
      <c r="A401">
        <v>400</v>
      </c>
      <c r="B401" t="s">
        <v>13</v>
      </c>
      <c r="C401" t="s">
        <v>18</v>
      </c>
      <c r="D401" t="s">
        <v>19</v>
      </c>
      <c r="E401" t="str">
        <f>IF(logistics_classification_dataset__1[[#This Row],[Shipment_Type]]="Kara","Road",IF(logistics_classification_dataset__1[[#This Row],[Shipment_Type]]="Hava","Air",IF(logistics_classification_dataset__1[[#This Row],[Shipment_Type]]="Deniz","Sea")))</f>
        <v>Sea</v>
      </c>
      <c r="F401">
        <v>862.04</v>
      </c>
      <c r="G401" t="str">
        <f t="shared" si="12"/>
        <v>501–1000</v>
      </c>
      <c r="H401" s="1">
        <v>426.8</v>
      </c>
      <c r="I401" t="str">
        <f t="shared" si="13"/>
        <v>0–500</v>
      </c>
      <c r="J401" t="s">
        <v>14</v>
      </c>
      <c r="K401" t="str">
        <f>IF(logistics_classification_dataset__1[[#This Row],[Customer_Segment]]="Bireysel","Individual",IF(logistics_classification_dataset__1[[#This Row],[Customer_Segment]]="Kurumsal","Corporate"))</f>
        <v>Corporate</v>
      </c>
      <c r="L401">
        <v>1</v>
      </c>
    </row>
    <row r="402" spans="1:12" x14ac:dyDescent="0.35">
      <c r="A402">
        <v>401</v>
      </c>
      <c r="B402" t="s">
        <v>16</v>
      </c>
      <c r="C402" t="s">
        <v>13</v>
      </c>
      <c r="D402" t="s">
        <v>19</v>
      </c>
      <c r="E402" t="str">
        <f>IF(logistics_classification_dataset__1[[#This Row],[Shipment_Type]]="Kara","Road",IF(logistics_classification_dataset__1[[#This Row],[Shipment_Type]]="Hava","Air",IF(logistics_classification_dataset__1[[#This Row],[Shipment_Type]]="Deniz","Sea")))</f>
        <v>Sea</v>
      </c>
      <c r="F402">
        <v>621.12</v>
      </c>
      <c r="G402" t="str">
        <f t="shared" si="12"/>
        <v>501–1000</v>
      </c>
      <c r="H402" s="1">
        <v>148.6</v>
      </c>
      <c r="I402" t="str">
        <f t="shared" si="13"/>
        <v>0–500</v>
      </c>
      <c r="J402" t="s">
        <v>11</v>
      </c>
      <c r="K402" t="str">
        <f>IF(logistics_classification_dataset__1[[#This Row],[Customer_Segment]]="Bireysel","Individual",IF(logistics_classification_dataset__1[[#This Row],[Customer_Segment]]="Kurumsal","Corporate"))</f>
        <v>Individual</v>
      </c>
      <c r="L402">
        <v>1</v>
      </c>
    </row>
    <row r="403" spans="1:12" x14ac:dyDescent="0.35">
      <c r="A403">
        <v>402</v>
      </c>
      <c r="B403" t="s">
        <v>9</v>
      </c>
      <c r="C403" t="s">
        <v>21</v>
      </c>
      <c r="D403" t="s">
        <v>15</v>
      </c>
      <c r="E403" t="str">
        <f>IF(logistics_classification_dataset__1[[#This Row],[Shipment_Type]]="Kara","Road",IF(logistics_classification_dataset__1[[#This Row],[Shipment_Type]]="Hava","Air",IF(logistics_classification_dataset__1[[#This Row],[Shipment_Type]]="Deniz","Sea")))</f>
        <v>Air</v>
      </c>
      <c r="F403">
        <v>967.12</v>
      </c>
      <c r="G403" t="str">
        <f t="shared" si="12"/>
        <v>501–1000</v>
      </c>
      <c r="H403" s="1">
        <v>1271.5999999999999</v>
      </c>
      <c r="I403" t="str">
        <f t="shared" si="13"/>
        <v>1001–1500</v>
      </c>
      <c r="J403" t="s">
        <v>14</v>
      </c>
      <c r="K403" t="str">
        <f>IF(logistics_classification_dataset__1[[#This Row],[Customer_Segment]]="Bireysel","Individual",IF(logistics_classification_dataset__1[[#This Row],[Customer_Segment]]="Kurumsal","Corporate"))</f>
        <v>Corporate</v>
      </c>
      <c r="L403">
        <v>1</v>
      </c>
    </row>
    <row r="404" spans="1:12" x14ac:dyDescent="0.35">
      <c r="A404">
        <v>403</v>
      </c>
      <c r="B404" t="s">
        <v>8</v>
      </c>
      <c r="C404" t="s">
        <v>16</v>
      </c>
      <c r="D404" t="s">
        <v>10</v>
      </c>
      <c r="E404" t="str">
        <f>IF(logistics_classification_dataset__1[[#This Row],[Shipment_Type]]="Kara","Road",IF(logistics_classification_dataset__1[[#This Row],[Shipment_Type]]="Hava","Air",IF(logistics_classification_dataset__1[[#This Row],[Shipment_Type]]="Deniz","Sea")))</f>
        <v>Road</v>
      </c>
      <c r="F404">
        <v>241.39</v>
      </c>
      <c r="G404" t="str">
        <f t="shared" si="12"/>
        <v>0–500</v>
      </c>
      <c r="H404" s="1">
        <v>610.29999999999995</v>
      </c>
      <c r="I404" t="str">
        <f t="shared" si="13"/>
        <v>501–1000</v>
      </c>
      <c r="J404" t="s">
        <v>14</v>
      </c>
      <c r="K404" t="str">
        <f>IF(logistics_classification_dataset__1[[#This Row],[Customer_Segment]]="Bireysel","Individual",IF(logistics_classification_dataset__1[[#This Row],[Customer_Segment]]="Kurumsal","Corporate"))</f>
        <v>Corporate</v>
      </c>
      <c r="L404">
        <v>1</v>
      </c>
    </row>
    <row r="405" spans="1:12" x14ac:dyDescent="0.35">
      <c r="A405">
        <v>404</v>
      </c>
      <c r="B405" t="s">
        <v>16</v>
      </c>
      <c r="C405" t="s">
        <v>9</v>
      </c>
      <c r="D405" t="s">
        <v>10</v>
      </c>
      <c r="E405" t="str">
        <f>IF(logistics_classification_dataset__1[[#This Row],[Shipment_Type]]="Kara","Road",IF(logistics_classification_dataset__1[[#This Row],[Shipment_Type]]="Hava","Air",IF(logistics_classification_dataset__1[[#This Row],[Shipment_Type]]="Deniz","Sea")))</f>
        <v>Road</v>
      </c>
      <c r="F405">
        <v>1923.22</v>
      </c>
      <c r="G405" t="str">
        <f t="shared" si="12"/>
        <v>1501–2000</v>
      </c>
      <c r="H405" s="1">
        <v>595.5</v>
      </c>
      <c r="I405" t="str">
        <f t="shared" si="13"/>
        <v>501–1000</v>
      </c>
      <c r="J405" t="s">
        <v>11</v>
      </c>
      <c r="K405" t="str">
        <f>IF(logistics_classification_dataset__1[[#This Row],[Customer_Segment]]="Bireysel","Individual",IF(logistics_classification_dataset__1[[#This Row],[Customer_Segment]]="Kurumsal","Corporate"))</f>
        <v>Individual</v>
      </c>
      <c r="L405">
        <v>0</v>
      </c>
    </row>
    <row r="406" spans="1:12" x14ac:dyDescent="0.35">
      <c r="A406">
        <v>405</v>
      </c>
      <c r="B406" t="s">
        <v>21</v>
      </c>
      <c r="C406" t="s">
        <v>12</v>
      </c>
      <c r="D406" t="s">
        <v>10</v>
      </c>
      <c r="E406" t="str">
        <f>IF(logistics_classification_dataset__1[[#This Row],[Shipment_Type]]="Kara","Road",IF(logistics_classification_dataset__1[[#This Row],[Shipment_Type]]="Hava","Air",IF(logistics_classification_dataset__1[[#This Row],[Shipment_Type]]="Deniz","Sea")))</f>
        <v>Road</v>
      </c>
      <c r="F406">
        <v>1430.25</v>
      </c>
      <c r="G406" t="str">
        <f t="shared" si="12"/>
        <v>1001–1500</v>
      </c>
      <c r="H406" s="1">
        <v>697.4</v>
      </c>
      <c r="I406" t="str">
        <f t="shared" si="13"/>
        <v>501–1000</v>
      </c>
      <c r="J406" t="s">
        <v>11</v>
      </c>
      <c r="K406" t="str">
        <f>IF(logistics_classification_dataset__1[[#This Row],[Customer_Segment]]="Bireysel","Individual",IF(logistics_classification_dataset__1[[#This Row],[Customer_Segment]]="Kurumsal","Corporate"))</f>
        <v>Individual</v>
      </c>
      <c r="L406">
        <v>0</v>
      </c>
    </row>
    <row r="407" spans="1:12" x14ac:dyDescent="0.35">
      <c r="A407">
        <v>406</v>
      </c>
      <c r="B407" t="s">
        <v>8</v>
      </c>
      <c r="C407" t="s">
        <v>17</v>
      </c>
      <c r="D407" t="s">
        <v>10</v>
      </c>
      <c r="E407" t="str">
        <f>IF(logistics_classification_dataset__1[[#This Row],[Shipment_Type]]="Kara","Road",IF(logistics_classification_dataset__1[[#This Row],[Shipment_Type]]="Hava","Air",IF(logistics_classification_dataset__1[[#This Row],[Shipment_Type]]="Deniz","Sea")))</f>
        <v>Road</v>
      </c>
      <c r="F407">
        <v>1905.17</v>
      </c>
      <c r="G407" t="str">
        <f t="shared" si="12"/>
        <v>1501–2000</v>
      </c>
      <c r="H407" s="1">
        <v>1342.5</v>
      </c>
      <c r="I407" t="str">
        <f t="shared" si="13"/>
        <v>1001–1500</v>
      </c>
      <c r="J407" t="s">
        <v>14</v>
      </c>
      <c r="K407" t="str">
        <f>IF(logistics_classification_dataset__1[[#This Row],[Customer_Segment]]="Bireysel","Individual",IF(logistics_classification_dataset__1[[#This Row],[Customer_Segment]]="Kurumsal","Corporate"))</f>
        <v>Corporate</v>
      </c>
      <c r="L407">
        <v>1</v>
      </c>
    </row>
    <row r="408" spans="1:12" x14ac:dyDescent="0.35">
      <c r="A408">
        <v>407</v>
      </c>
      <c r="B408" t="s">
        <v>18</v>
      </c>
      <c r="C408" t="s">
        <v>9</v>
      </c>
      <c r="D408" t="s">
        <v>10</v>
      </c>
      <c r="E408" t="str">
        <f>IF(logistics_classification_dataset__1[[#This Row],[Shipment_Type]]="Kara","Road",IF(logistics_classification_dataset__1[[#This Row],[Shipment_Type]]="Hava","Air",IF(logistics_classification_dataset__1[[#This Row],[Shipment_Type]]="Deniz","Sea")))</f>
        <v>Road</v>
      </c>
      <c r="F408">
        <v>457.32</v>
      </c>
      <c r="G408" t="str">
        <f t="shared" si="12"/>
        <v>0–500</v>
      </c>
      <c r="H408" s="1">
        <v>1747.7</v>
      </c>
      <c r="I408" t="str">
        <f t="shared" si="13"/>
        <v>1501–2000</v>
      </c>
      <c r="J408" t="s">
        <v>11</v>
      </c>
      <c r="K408" t="str">
        <f>IF(logistics_classification_dataset__1[[#This Row],[Customer_Segment]]="Bireysel","Individual",IF(logistics_classification_dataset__1[[#This Row],[Customer_Segment]]="Kurumsal","Corporate"))</f>
        <v>Individual</v>
      </c>
      <c r="L408">
        <v>1</v>
      </c>
    </row>
    <row r="409" spans="1:12" x14ac:dyDescent="0.35">
      <c r="A409">
        <v>408</v>
      </c>
      <c r="B409" t="s">
        <v>17</v>
      </c>
      <c r="C409" t="s">
        <v>20</v>
      </c>
      <c r="D409" t="s">
        <v>19</v>
      </c>
      <c r="E409" t="str">
        <f>IF(logistics_classification_dataset__1[[#This Row],[Shipment_Type]]="Kara","Road",IF(logistics_classification_dataset__1[[#This Row],[Shipment_Type]]="Hava","Air",IF(logistics_classification_dataset__1[[#This Row],[Shipment_Type]]="Deniz","Sea")))</f>
        <v>Sea</v>
      </c>
      <c r="F409">
        <v>1759.29</v>
      </c>
      <c r="G409" t="str">
        <f t="shared" si="12"/>
        <v>1501–2000</v>
      </c>
      <c r="H409" s="1">
        <v>1530.2</v>
      </c>
      <c r="I409" t="str">
        <f t="shared" si="13"/>
        <v>1501–2000</v>
      </c>
      <c r="J409" t="s">
        <v>11</v>
      </c>
      <c r="K409" t="str">
        <f>IF(logistics_classification_dataset__1[[#This Row],[Customer_Segment]]="Bireysel","Individual",IF(logistics_classification_dataset__1[[#This Row],[Customer_Segment]]="Kurumsal","Corporate"))</f>
        <v>Individual</v>
      </c>
      <c r="L409">
        <v>1</v>
      </c>
    </row>
    <row r="410" spans="1:12" x14ac:dyDescent="0.35">
      <c r="A410">
        <v>409</v>
      </c>
      <c r="B410" t="s">
        <v>18</v>
      </c>
      <c r="C410" t="s">
        <v>21</v>
      </c>
      <c r="D410" t="s">
        <v>10</v>
      </c>
      <c r="E410" t="str">
        <f>IF(logistics_classification_dataset__1[[#This Row],[Shipment_Type]]="Kara","Road",IF(logistics_classification_dataset__1[[#This Row],[Shipment_Type]]="Hava","Air",IF(logistics_classification_dataset__1[[#This Row],[Shipment_Type]]="Deniz","Sea")))</f>
        <v>Road</v>
      </c>
      <c r="F410">
        <v>1618.54</v>
      </c>
      <c r="G410" t="str">
        <f t="shared" si="12"/>
        <v>1501–2000</v>
      </c>
      <c r="H410" s="1">
        <v>1468.7</v>
      </c>
      <c r="I410" t="str">
        <f t="shared" si="13"/>
        <v>1001–1500</v>
      </c>
      <c r="J410" t="s">
        <v>11</v>
      </c>
      <c r="K410" t="str">
        <f>IF(logistics_classification_dataset__1[[#This Row],[Customer_Segment]]="Bireysel","Individual",IF(logistics_classification_dataset__1[[#This Row],[Customer_Segment]]="Kurumsal","Corporate"))</f>
        <v>Individual</v>
      </c>
      <c r="L410">
        <v>1</v>
      </c>
    </row>
    <row r="411" spans="1:12" x14ac:dyDescent="0.35">
      <c r="A411">
        <v>410</v>
      </c>
      <c r="B411" t="s">
        <v>16</v>
      </c>
      <c r="C411" t="s">
        <v>12</v>
      </c>
      <c r="D411" t="s">
        <v>10</v>
      </c>
      <c r="E411" t="str">
        <f>IF(logistics_classification_dataset__1[[#This Row],[Shipment_Type]]="Kara","Road",IF(logistics_classification_dataset__1[[#This Row],[Shipment_Type]]="Hava","Air",IF(logistics_classification_dataset__1[[#This Row],[Shipment_Type]]="Deniz","Sea")))</f>
        <v>Road</v>
      </c>
      <c r="F411">
        <v>1355.92</v>
      </c>
      <c r="G411" t="str">
        <f t="shared" si="12"/>
        <v>1001–1500</v>
      </c>
      <c r="H411" s="1">
        <v>994.6</v>
      </c>
      <c r="I411" t="str">
        <f t="shared" si="13"/>
        <v>501–1000</v>
      </c>
      <c r="J411" t="s">
        <v>11</v>
      </c>
      <c r="K411" t="str">
        <f>IF(logistics_classification_dataset__1[[#This Row],[Customer_Segment]]="Bireysel","Individual",IF(logistics_classification_dataset__1[[#This Row],[Customer_Segment]]="Kurumsal","Corporate"))</f>
        <v>Individual</v>
      </c>
      <c r="L411">
        <v>1</v>
      </c>
    </row>
    <row r="412" spans="1:12" x14ac:dyDescent="0.35">
      <c r="A412">
        <v>411</v>
      </c>
      <c r="B412" t="s">
        <v>21</v>
      </c>
      <c r="C412" t="s">
        <v>17</v>
      </c>
      <c r="D412" t="s">
        <v>10</v>
      </c>
      <c r="E412" t="str">
        <f>IF(logistics_classification_dataset__1[[#This Row],[Shipment_Type]]="Kara","Road",IF(logistics_classification_dataset__1[[#This Row],[Shipment_Type]]="Hava","Air",IF(logistics_classification_dataset__1[[#This Row],[Shipment_Type]]="Deniz","Sea")))</f>
        <v>Road</v>
      </c>
      <c r="F412">
        <v>1251.93</v>
      </c>
      <c r="G412" t="str">
        <f t="shared" si="12"/>
        <v>1001–1500</v>
      </c>
      <c r="H412" s="1">
        <v>1402.9</v>
      </c>
      <c r="I412" t="str">
        <f t="shared" si="13"/>
        <v>1001–1500</v>
      </c>
      <c r="J412" t="s">
        <v>14</v>
      </c>
      <c r="K412" t="str">
        <f>IF(logistics_classification_dataset__1[[#This Row],[Customer_Segment]]="Bireysel","Individual",IF(logistics_classification_dataset__1[[#This Row],[Customer_Segment]]="Kurumsal","Corporate"))</f>
        <v>Corporate</v>
      </c>
      <c r="L412">
        <v>1</v>
      </c>
    </row>
    <row r="413" spans="1:12" x14ac:dyDescent="0.35">
      <c r="A413">
        <v>412</v>
      </c>
      <c r="B413" t="s">
        <v>20</v>
      </c>
      <c r="C413" t="s">
        <v>9</v>
      </c>
      <c r="D413" t="s">
        <v>10</v>
      </c>
      <c r="E413" t="str">
        <f>IF(logistics_classification_dataset__1[[#This Row],[Shipment_Type]]="Kara","Road",IF(logistics_classification_dataset__1[[#This Row],[Shipment_Type]]="Hava","Air",IF(logistics_classification_dataset__1[[#This Row],[Shipment_Type]]="Deniz","Sea")))</f>
        <v>Road</v>
      </c>
      <c r="F413">
        <v>636.52</v>
      </c>
      <c r="G413" t="str">
        <f t="shared" si="12"/>
        <v>501–1000</v>
      </c>
      <c r="H413" s="1">
        <v>1127.9000000000001</v>
      </c>
      <c r="I413" t="str">
        <f t="shared" si="13"/>
        <v>1001–1500</v>
      </c>
      <c r="J413" t="s">
        <v>11</v>
      </c>
      <c r="K413" t="str">
        <f>IF(logistics_classification_dataset__1[[#This Row],[Customer_Segment]]="Bireysel","Individual",IF(logistics_classification_dataset__1[[#This Row],[Customer_Segment]]="Kurumsal","Corporate"))</f>
        <v>Individual</v>
      </c>
      <c r="L413">
        <v>1</v>
      </c>
    </row>
    <row r="414" spans="1:12" x14ac:dyDescent="0.35">
      <c r="A414">
        <v>413</v>
      </c>
      <c r="B414" t="s">
        <v>16</v>
      </c>
      <c r="C414" t="s">
        <v>17</v>
      </c>
      <c r="D414" t="s">
        <v>10</v>
      </c>
      <c r="E414" t="str">
        <f>IF(logistics_classification_dataset__1[[#This Row],[Shipment_Type]]="Kara","Road",IF(logistics_classification_dataset__1[[#This Row],[Shipment_Type]]="Hava","Air",IF(logistics_classification_dataset__1[[#This Row],[Shipment_Type]]="Deniz","Sea")))</f>
        <v>Road</v>
      </c>
      <c r="F414">
        <v>1633.74</v>
      </c>
      <c r="G414" t="str">
        <f t="shared" si="12"/>
        <v>1501–2000</v>
      </c>
      <c r="H414" s="1">
        <v>471.7</v>
      </c>
      <c r="I414" t="str">
        <f t="shared" si="13"/>
        <v>0–500</v>
      </c>
      <c r="J414" t="s">
        <v>11</v>
      </c>
      <c r="K414" t="str">
        <f>IF(logistics_classification_dataset__1[[#This Row],[Customer_Segment]]="Bireysel","Individual",IF(logistics_classification_dataset__1[[#This Row],[Customer_Segment]]="Kurumsal","Corporate"))</f>
        <v>Individual</v>
      </c>
      <c r="L414">
        <v>1</v>
      </c>
    </row>
    <row r="415" spans="1:12" x14ac:dyDescent="0.35">
      <c r="A415">
        <v>414</v>
      </c>
      <c r="B415" t="s">
        <v>9</v>
      </c>
      <c r="C415" t="s">
        <v>18</v>
      </c>
      <c r="D415" t="s">
        <v>10</v>
      </c>
      <c r="E415" t="str">
        <f>IF(logistics_classification_dataset__1[[#This Row],[Shipment_Type]]="Kara","Road",IF(logistics_classification_dataset__1[[#This Row],[Shipment_Type]]="Hava","Air",IF(logistics_classification_dataset__1[[#This Row],[Shipment_Type]]="Deniz","Sea")))</f>
        <v>Road</v>
      </c>
      <c r="F415">
        <v>1005.52</v>
      </c>
      <c r="G415" t="str">
        <f t="shared" si="12"/>
        <v>1001–1500</v>
      </c>
      <c r="H415" s="1">
        <v>456.7</v>
      </c>
      <c r="I415" t="str">
        <f t="shared" si="13"/>
        <v>0–500</v>
      </c>
      <c r="J415" t="s">
        <v>11</v>
      </c>
      <c r="K415" t="str">
        <f>IF(logistics_classification_dataset__1[[#This Row],[Customer_Segment]]="Bireysel","Individual",IF(logistics_classification_dataset__1[[#This Row],[Customer_Segment]]="Kurumsal","Corporate"))</f>
        <v>Individual</v>
      </c>
      <c r="L415">
        <v>1</v>
      </c>
    </row>
    <row r="416" spans="1:12" x14ac:dyDescent="0.35">
      <c r="A416">
        <v>415</v>
      </c>
      <c r="B416" t="s">
        <v>12</v>
      </c>
      <c r="C416" t="s">
        <v>22</v>
      </c>
      <c r="D416" t="s">
        <v>10</v>
      </c>
      <c r="E416" t="str">
        <f>IF(logistics_classification_dataset__1[[#This Row],[Shipment_Type]]="Kara","Road",IF(logistics_classification_dataset__1[[#This Row],[Shipment_Type]]="Hava","Air",IF(logistics_classification_dataset__1[[#This Row],[Shipment_Type]]="Deniz","Sea")))</f>
        <v>Road</v>
      </c>
      <c r="F416">
        <v>146.43</v>
      </c>
      <c r="G416" t="str">
        <f t="shared" si="12"/>
        <v>0–500</v>
      </c>
      <c r="H416" s="1">
        <v>628</v>
      </c>
      <c r="I416" t="str">
        <f t="shared" si="13"/>
        <v>501–1000</v>
      </c>
      <c r="J416" t="s">
        <v>11</v>
      </c>
      <c r="K416" t="str">
        <f>IF(logistics_classification_dataset__1[[#This Row],[Customer_Segment]]="Bireysel","Individual",IF(logistics_classification_dataset__1[[#This Row],[Customer_Segment]]="Kurumsal","Corporate"))</f>
        <v>Individual</v>
      </c>
      <c r="L416">
        <v>0</v>
      </c>
    </row>
    <row r="417" spans="1:12" x14ac:dyDescent="0.35">
      <c r="A417">
        <v>416</v>
      </c>
      <c r="B417" t="s">
        <v>16</v>
      </c>
      <c r="C417" t="s">
        <v>22</v>
      </c>
      <c r="D417" t="s">
        <v>15</v>
      </c>
      <c r="E417" t="str">
        <f>IF(logistics_classification_dataset__1[[#This Row],[Shipment_Type]]="Kara","Road",IF(logistics_classification_dataset__1[[#This Row],[Shipment_Type]]="Hava","Air",IF(logistics_classification_dataset__1[[#This Row],[Shipment_Type]]="Deniz","Sea")))</f>
        <v>Air</v>
      </c>
      <c r="F417">
        <v>629.16</v>
      </c>
      <c r="G417" t="str">
        <f t="shared" si="12"/>
        <v>501–1000</v>
      </c>
      <c r="H417" s="1">
        <v>1826.1</v>
      </c>
      <c r="I417" t="str">
        <f t="shared" si="13"/>
        <v>1501–2000</v>
      </c>
      <c r="J417" t="s">
        <v>11</v>
      </c>
      <c r="K417" t="str">
        <f>IF(logistics_classification_dataset__1[[#This Row],[Customer_Segment]]="Bireysel","Individual",IF(logistics_classification_dataset__1[[#This Row],[Customer_Segment]]="Kurumsal","Corporate"))</f>
        <v>Individual</v>
      </c>
      <c r="L417">
        <v>1</v>
      </c>
    </row>
    <row r="418" spans="1:12" x14ac:dyDescent="0.35">
      <c r="A418">
        <v>417</v>
      </c>
      <c r="B418" t="s">
        <v>17</v>
      </c>
      <c r="C418" t="s">
        <v>9</v>
      </c>
      <c r="D418" t="s">
        <v>19</v>
      </c>
      <c r="E418" t="str">
        <f>IF(logistics_classification_dataset__1[[#This Row],[Shipment_Type]]="Kara","Road",IF(logistics_classification_dataset__1[[#This Row],[Shipment_Type]]="Hava","Air",IF(logistics_classification_dataset__1[[#This Row],[Shipment_Type]]="Deniz","Sea")))</f>
        <v>Sea</v>
      </c>
      <c r="F418">
        <v>1870.92</v>
      </c>
      <c r="G418" t="str">
        <f t="shared" si="12"/>
        <v>1501–2000</v>
      </c>
      <c r="H418" s="1">
        <v>1117.5</v>
      </c>
      <c r="I418" t="str">
        <f t="shared" si="13"/>
        <v>1001–1500</v>
      </c>
      <c r="J418" t="s">
        <v>11</v>
      </c>
      <c r="K418" t="str">
        <f>IF(logistics_classification_dataset__1[[#This Row],[Customer_Segment]]="Bireysel","Individual",IF(logistics_classification_dataset__1[[#This Row],[Customer_Segment]]="Kurumsal","Corporate"))</f>
        <v>Individual</v>
      </c>
      <c r="L418">
        <v>1</v>
      </c>
    </row>
    <row r="419" spans="1:12" x14ac:dyDescent="0.35">
      <c r="A419">
        <v>418</v>
      </c>
      <c r="B419" t="s">
        <v>17</v>
      </c>
      <c r="C419" t="s">
        <v>13</v>
      </c>
      <c r="D419" t="s">
        <v>10</v>
      </c>
      <c r="E419" t="str">
        <f>IF(logistics_classification_dataset__1[[#This Row],[Shipment_Type]]="Kara","Road",IF(logistics_classification_dataset__1[[#This Row],[Shipment_Type]]="Hava","Air",IF(logistics_classification_dataset__1[[#This Row],[Shipment_Type]]="Deniz","Sea")))</f>
        <v>Road</v>
      </c>
      <c r="F419">
        <v>1702.11</v>
      </c>
      <c r="G419" t="str">
        <f t="shared" si="12"/>
        <v>1501–2000</v>
      </c>
      <c r="H419" s="1">
        <v>1481.1</v>
      </c>
      <c r="I419" t="str">
        <f t="shared" si="13"/>
        <v>1001–1500</v>
      </c>
      <c r="J419" t="s">
        <v>14</v>
      </c>
      <c r="K419" t="str">
        <f>IF(logistics_classification_dataset__1[[#This Row],[Customer_Segment]]="Bireysel","Individual",IF(logistics_classification_dataset__1[[#This Row],[Customer_Segment]]="Kurumsal","Corporate"))</f>
        <v>Corporate</v>
      </c>
      <c r="L419">
        <v>1</v>
      </c>
    </row>
    <row r="420" spans="1:12" x14ac:dyDescent="0.35">
      <c r="A420">
        <v>419</v>
      </c>
      <c r="B420" t="s">
        <v>16</v>
      </c>
      <c r="C420" t="s">
        <v>18</v>
      </c>
      <c r="D420" t="s">
        <v>10</v>
      </c>
      <c r="E420" t="str">
        <f>IF(logistics_classification_dataset__1[[#This Row],[Shipment_Type]]="Kara","Road",IF(logistics_classification_dataset__1[[#This Row],[Shipment_Type]]="Hava","Air",IF(logistics_classification_dataset__1[[#This Row],[Shipment_Type]]="Deniz","Sea")))</f>
        <v>Road</v>
      </c>
      <c r="F420">
        <v>196.39</v>
      </c>
      <c r="G420" t="str">
        <f t="shared" si="12"/>
        <v>0–500</v>
      </c>
      <c r="H420" s="1">
        <v>725.8</v>
      </c>
      <c r="I420" t="str">
        <f t="shared" si="13"/>
        <v>501–1000</v>
      </c>
      <c r="J420" t="s">
        <v>11</v>
      </c>
      <c r="K420" t="str">
        <f>IF(logistics_classification_dataset__1[[#This Row],[Customer_Segment]]="Bireysel","Individual",IF(logistics_classification_dataset__1[[#This Row],[Customer_Segment]]="Kurumsal","Corporate"))</f>
        <v>Individual</v>
      </c>
      <c r="L420">
        <v>1</v>
      </c>
    </row>
    <row r="421" spans="1:12" x14ac:dyDescent="0.35">
      <c r="A421">
        <v>420</v>
      </c>
      <c r="B421" t="s">
        <v>8</v>
      </c>
      <c r="C421" t="s">
        <v>18</v>
      </c>
      <c r="D421" t="s">
        <v>15</v>
      </c>
      <c r="E421" t="str">
        <f>IF(logistics_classification_dataset__1[[#This Row],[Shipment_Type]]="Kara","Road",IF(logistics_classification_dataset__1[[#This Row],[Shipment_Type]]="Hava","Air",IF(logistics_classification_dataset__1[[#This Row],[Shipment_Type]]="Deniz","Sea")))</f>
        <v>Air</v>
      </c>
      <c r="F421">
        <v>1257.8499999999999</v>
      </c>
      <c r="G421" t="str">
        <f t="shared" si="12"/>
        <v>1001–1500</v>
      </c>
      <c r="H421" s="1">
        <v>845</v>
      </c>
      <c r="I421" t="str">
        <f t="shared" si="13"/>
        <v>501–1000</v>
      </c>
      <c r="J421" t="s">
        <v>11</v>
      </c>
      <c r="K421" t="str">
        <f>IF(logistics_classification_dataset__1[[#This Row],[Customer_Segment]]="Bireysel","Individual",IF(logistics_classification_dataset__1[[#This Row],[Customer_Segment]]="Kurumsal","Corporate"))</f>
        <v>Individual</v>
      </c>
      <c r="L421">
        <v>1</v>
      </c>
    </row>
    <row r="422" spans="1:12" x14ac:dyDescent="0.35">
      <c r="A422">
        <v>421</v>
      </c>
      <c r="B422" t="s">
        <v>12</v>
      </c>
      <c r="C422" t="s">
        <v>21</v>
      </c>
      <c r="D422" t="s">
        <v>10</v>
      </c>
      <c r="E422" t="str">
        <f>IF(logistics_classification_dataset__1[[#This Row],[Shipment_Type]]="Kara","Road",IF(logistics_classification_dataset__1[[#This Row],[Shipment_Type]]="Hava","Air",IF(logistics_classification_dataset__1[[#This Row],[Shipment_Type]]="Deniz","Sea")))</f>
        <v>Road</v>
      </c>
      <c r="F422">
        <v>498.78</v>
      </c>
      <c r="G422" t="str">
        <f t="shared" si="12"/>
        <v>0–500</v>
      </c>
      <c r="H422" s="1">
        <v>294.89999999999998</v>
      </c>
      <c r="I422" t="str">
        <f t="shared" si="13"/>
        <v>0–500</v>
      </c>
      <c r="J422" t="s">
        <v>11</v>
      </c>
      <c r="K422" t="str">
        <f>IF(logistics_classification_dataset__1[[#This Row],[Customer_Segment]]="Bireysel","Individual",IF(logistics_classification_dataset__1[[#This Row],[Customer_Segment]]="Kurumsal","Corporate"))</f>
        <v>Individual</v>
      </c>
      <c r="L422">
        <v>1</v>
      </c>
    </row>
    <row r="423" spans="1:12" x14ac:dyDescent="0.35">
      <c r="A423">
        <v>422</v>
      </c>
      <c r="B423" t="s">
        <v>9</v>
      </c>
      <c r="C423" t="s">
        <v>13</v>
      </c>
      <c r="D423" t="s">
        <v>10</v>
      </c>
      <c r="E423" t="str">
        <f>IF(logistics_classification_dataset__1[[#This Row],[Shipment_Type]]="Kara","Road",IF(logistics_classification_dataset__1[[#This Row],[Shipment_Type]]="Hava","Air",IF(logistics_classification_dataset__1[[#This Row],[Shipment_Type]]="Deniz","Sea")))</f>
        <v>Road</v>
      </c>
      <c r="F423">
        <v>329.82</v>
      </c>
      <c r="G423" t="str">
        <f t="shared" si="12"/>
        <v>0–500</v>
      </c>
      <c r="H423" s="1">
        <v>384</v>
      </c>
      <c r="I423" t="str">
        <f t="shared" si="13"/>
        <v>0–500</v>
      </c>
      <c r="J423" t="s">
        <v>11</v>
      </c>
      <c r="K423" t="str">
        <f>IF(logistics_classification_dataset__1[[#This Row],[Customer_Segment]]="Bireysel","Individual",IF(logistics_classification_dataset__1[[#This Row],[Customer_Segment]]="Kurumsal","Corporate"))</f>
        <v>Individual</v>
      </c>
      <c r="L423">
        <v>1</v>
      </c>
    </row>
    <row r="424" spans="1:12" x14ac:dyDescent="0.35">
      <c r="A424">
        <v>423</v>
      </c>
      <c r="B424" t="s">
        <v>16</v>
      </c>
      <c r="C424" t="s">
        <v>20</v>
      </c>
      <c r="D424" t="s">
        <v>15</v>
      </c>
      <c r="E424" t="str">
        <f>IF(logistics_classification_dataset__1[[#This Row],[Shipment_Type]]="Kara","Road",IF(logistics_classification_dataset__1[[#This Row],[Shipment_Type]]="Hava","Air",IF(logistics_classification_dataset__1[[#This Row],[Shipment_Type]]="Deniz","Sea")))</f>
        <v>Air</v>
      </c>
      <c r="F424">
        <v>377.89</v>
      </c>
      <c r="G424" t="str">
        <f t="shared" si="12"/>
        <v>0–500</v>
      </c>
      <c r="H424" s="1">
        <v>1663.3</v>
      </c>
      <c r="I424" t="str">
        <f t="shared" si="13"/>
        <v>1501–2000</v>
      </c>
      <c r="J424" t="s">
        <v>14</v>
      </c>
      <c r="K424" t="str">
        <f>IF(logistics_classification_dataset__1[[#This Row],[Customer_Segment]]="Bireysel","Individual",IF(logistics_classification_dataset__1[[#This Row],[Customer_Segment]]="Kurumsal","Corporate"))</f>
        <v>Corporate</v>
      </c>
      <c r="L424">
        <v>1</v>
      </c>
    </row>
    <row r="425" spans="1:12" x14ac:dyDescent="0.35">
      <c r="A425">
        <v>424</v>
      </c>
      <c r="B425" t="s">
        <v>8</v>
      </c>
      <c r="C425" t="s">
        <v>20</v>
      </c>
      <c r="D425" t="s">
        <v>10</v>
      </c>
      <c r="E425" t="str">
        <f>IF(logistics_classification_dataset__1[[#This Row],[Shipment_Type]]="Kara","Road",IF(logistics_classification_dataset__1[[#This Row],[Shipment_Type]]="Hava","Air",IF(logistics_classification_dataset__1[[#This Row],[Shipment_Type]]="Deniz","Sea")))</f>
        <v>Road</v>
      </c>
      <c r="F425">
        <v>44.49</v>
      </c>
      <c r="G425" t="str">
        <f t="shared" si="12"/>
        <v>0–500</v>
      </c>
      <c r="H425" s="1">
        <v>1190.4000000000001</v>
      </c>
      <c r="I425" t="str">
        <f t="shared" si="13"/>
        <v>1001–1500</v>
      </c>
      <c r="J425" t="s">
        <v>14</v>
      </c>
      <c r="K425" t="str">
        <f>IF(logistics_classification_dataset__1[[#This Row],[Customer_Segment]]="Bireysel","Individual",IF(logistics_classification_dataset__1[[#This Row],[Customer_Segment]]="Kurumsal","Corporate"))</f>
        <v>Corporate</v>
      </c>
      <c r="L425">
        <v>1</v>
      </c>
    </row>
    <row r="426" spans="1:12" x14ac:dyDescent="0.35">
      <c r="A426">
        <v>425</v>
      </c>
      <c r="B426" t="s">
        <v>17</v>
      </c>
      <c r="C426" t="s">
        <v>12</v>
      </c>
      <c r="D426" t="s">
        <v>15</v>
      </c>
      <c r="E426" t="str">
        <f>IF(logistics_classification_dataset__1[[#This Row],[Shipment_Type]]="Kara","Road",IF(logistics_classification_dataset__1[[#This Row],[Shipment_Type]]="Hava","Air",IF(logistics_classification_dataset__1[[#This Row],[Shipment_Type]]="Deniz","Sea")))</f>
        <v>Air</v>
      </c>
      <c r="F426">
        <v>784.41</v>
      </c>
      <c r="G426" t="str">
        <f t="shared" si="12"/>
        <v>501–1000</v>
      </c>
      <c r="H426" s="1">
        <v>708.2</v>
      </c>
      <c r="I426" t="str">
        <f t="shared" si="13"/>
        <v>501–1000</v>
      </c>
      <c r="J426" t="s">
        <v>14</v>
      </c>
      <c r="K426" t="str">
        <f>IF(logistics_classification_dataset__1[[#This Row],[Customer_Segment]]="Bireysel","Individual",IF(logistics_classification_dataset__1[[#This Row],[Customer_Segment]]="Kurumsal","Corporate"))</f>
        <v>Corporate</v>
      </c>
      <c r="L426">
        <v>1</v>
      </c>
    </row>
    <row r="427" spans="1:12" x14ac:dyDescent="0.35">
      <c r="A427">
        <v>426</v>
      </c>
      <c r="B427" t="s">
        <v>17</v>
      </c>
      <c r="C427" t="s">
        <v>16</v>
      </c>
      <c r="D427" t="s">
        <v>10</v>
      </c>
      <c r="E427" t="str">
        <f>IF(logistics_classification_dataset__1[[#This Row],[Shipment_Type]]="Kara","Road",IF(logistics_classification_dataset__1[[#This Row],[Shipment_Type]]="Hava","Air",IF(logistics_classification_dataset__1[[#This Row],[Shipment_Type]]="Deniz","Sea")))</f>
        <v>Road</v>
      </c>
      <c r="F427">
        <v>38.69</v>
      </c>
      <c r="G427" t="str">
        <f t="shared" si="12"/>
        <v>0–500</v>
      </c>
      <c r="H427" s="1">
        <v>1615.6</v>
      </c>
      <c r="I427" t="str">
        <f t="shared" si="13"/>
        <v>1501–2000</v>
      </c>
      <c r="J427" t="s">
        <v>11</v>
      </c>
      <c r="K427" t="str">
        <f>IF(logistics_classification_dataset__1[[#This Row],[Customer_Segment]]="Bireysel","Individual",IF(logistics_classification_dataset__1[[#This Row],[Customer_Segment]]="Kurumsal","Corporate"))</f>
        <v>Individual</v>
      </c>
      <c r="L427">
        <v>0</v>
      </c>
    </row>
    <row r="428" spans="1:12" x14ac:dyDescent="0.35">
      <c r="A428">
        <v>427</v>
      </c>
      <c r="B428" t="s">
        <v>21</v>
      </c>
      <c r="C428" t="s">
        <v>22</v>
      </c>
      <c r="D428" t="s">
        <v>10</v>
      </c>
      <c r="E428" t="str">
        <f>IF(logistics_classification_dataset__1[[#This Row],[Shipment_Type]]="Kara","Road",IF(logistics_classification_dataset__1[[#This Row],[Shipment_Type]]="Hava","Air",IF(logistics_classification_dataset__1[[#This Row],[Shipment_Type]]="Deniz","Sea")))</f>
        <v>Road</v>
      </c>
      <c r="F428">
        <v>826.25</v>
      </c>
      <c r="G428" t="str">
        <f t="shared" si="12"/>
        <v>501–1000</v>
      </c>
      <c r="H428" s="1">
        <v>530.70000000000005</v>
      </c>
      <c r="I428" t="str">
        <f t="shared" si="13"/>
        <v>501–1000</v>
      </c>
      <c r="J428" t="s">
        <v>11</v>
      </c>
      <c r="K428" t="str">
        <f>IF(logistics_classification_dataset__1[[#This Row],[Customer_Segment]]="Bireysel","Individual",IF(logistics_classification_dataset__1[[#This Row],[Customer_Segment]]="Kurumsal","Corporate"))</f>
        <v>Individual</v>
      </c>
      <c r="L428">
        <v>1</v>
      </c>
    </row>
    <row r="429" spans="1:12" x14ac:dyDescent="0.35">
      <c r="A429">
        <v>428</v>
      </c>
      <c r="B429" t="s">
        <v>16</v>
      </c>
      <c r="C429" t="s">
        <v>20</v>
      </c>
      <c r="D429" t="s">
        <v>10</v>
      </c>
      <c r="E429" t="str">
        <f>IF(logistics_classification_dataset__1[[#This Row],[Shipment_Type]]="Kara","Road",IF(logistics_classification_dataset__1[[#This Row],[Shipment_Type]]="Hava","Air",IF(logistics_classification_dataset__1[[#This Row],[Shipment_Type]]="Deniz","Sea")))</f>
        <v>Road</v>
      </c>
      <c r="F429">
        <v>1870.31</v>
      </c>
      <c r="G429" t="str">
        <f t="shared" si="12"/>
        <v>1501–2000</v>
      </c>
      <c r="H429" s="1">
        <v>1953.3</v>
      </c>
      <c r="I429" t="str">
        <f t="shared" si="13"/>
        <v>1501–2000</v>
      </c>
      <c r="J429" t="s">
        <v>11</v>
      </c>
      <c r="K429" t="str">
        <f>IF(logistics_classification_dataset__1[[#This Row],[Customer_Segment]]="Bireysel","Individual",IF(logistics_classification_dataset__1[[#This Row],[Customer_Segment]]="Kurumsal","Corporate"))</f>
        <v>Individual</v>
      </c>
      <c r="L429">
        <v>1</v>
      </c>
    </row>
    <row r="430" spans="1:12" x14ac:dyDescent="0.35">
      <c r="A430">
        <v>429</v>
      </c>
      <c r="B430" t="s">
        <v>12</v>
      </c>
      <c r="C430" t="s">
        <v>13</v>
      </c>
      <c r="D430" t="s">
        <v>15</v>
      </c>
      <c r="E430" t="str">
        <f>IF(logistics_classification_dataset__1[[#This Row],[Shipment_Type]]="Kara","Road",IF(logistics_classification_dataset__1[[#This Row],[Shipment_Type]]="Hava","Air",IF(logistics_classification_dataset__1[[#This Row],[Shipment_Type]]="Deniz","Sea")))</f>
        <v>Air</v>
      </c>
      <c r="F430">
        <v>863.93</v>
      </c>
      <c r="G430" t="str">
        <f t="shared" si="12"/>
        <v>501–1000</v>
      </c>
      <c r="H430" s="1">
        <v>722.4</v>
      </c>
      <c r="I430" t="str">
        <f t="shared" si="13"/>
        <v>501–1000</v>
      </c>
      <c r="J430" t="s">
        <v>11</v>
      </c>
      <c r="K430" t="str">
        <f>IF(logistics_classification_dataset__1[[#This Row],[Customer_Segment]]="Bireysel","Individual",IF(logistics_classification_dataset__1[[#This Row],[Customer_Segment]]="Kurumsal","Corporate"))</f>
        <v>Individual</v>
      </c>
      <c r="L430">
        <v>0</v>
      </c>
    </row>
    <row r="431" spans="1:12" x14ac:dyDescent="0.35">
      <c r="A431">
        <v>430</v>
      </c>
      <c r="B431" t="s">
        <v>22</v>
      </c>
      <c r="C431" t="s">
        <v>18</v>
      </c>
      <c r="D431" t="s">
        <v>10</v>
      </c>
      <c r="E431" t="str">
        <f>IF(logistics_classification_dataset__1[[#This Row],[Shipment_Type]]="Kara","Road",IF(logistics_classification_dataset__1[[#This Row],[Shipment_Type]]="Hava","Air",IF(logistics_classification_dataset__1[[#This Row],[Shipment_Type]]="Deniz","Sea")))</f>
        <v>Road</v>
      </c>
      <c r="F431">
        <v>1756.58</v>
      </c>
      <c r="G431" t="str">
        <f t="shared" si="12"/>
        <v>1501–2000</v>
      </c>
      <c r="H431" s="1">
        <v>707.8</v>
      </c>
      <c r="I431" t="str">
        <f t="shared" si="13"/>
        <v>501–1000</v>
      </c>
      <c r="J431" t="s">
        <v>14</v>
      </c>
      <c r="K431" t="str">
        <f>IF(logistics_classification_dataset__1[[#This Row],[Customer_Segment]]="Bireysel","Individual",IF(logistics_classification_dataset__1[[#This Row],[Customer_Segment]]="Kurumsal","Corporate"))</f>
        <v>Corporate</v>
      </c>
      <c r="L431">
        <v>1</v>
      </c>
    </row>
    <row r="432" spans="1:12" x14ac:dyDescent="0.35">
      <c r="A432">
        <v>431</v>
      </c>
      <c r="B432" t="s">
        <v>12</v>
      </c>
      <c r="C432" t="s">
        <v>20</v>
      </c>
      <c r="D432" t="s">
        <v>10</v>
      </c>
      <c r="E432" t="str">
        <f>IF(logistics_classification_dataset__1[[#This Row],[Shipment_Type]]="Kara","Road",IF(logistics_classification_dataset__1[[#This Row],[Shipment_Type]]="Hava","Air",IF(logistics_classification_dataset__1[[#This Row],[Shipment_Type]]="Deniz","Sea")))</f>
        <v>Road</v>
      </c>
      <c r="F432">
        <v>1212.98</v>
      </c>
      <c r="G432" t="str">
        <f t="shared" si="12"/>
        <v>1001–1500</v>
      </c>
      <c r="H432" s="1">
        <v>658.2</v>
      </c>
      <c r="I432" t="str">
        <f t="shared" si="13"/>
        <v>501–1000</v>
      </c>
      <c r="J432" t="s">
        <v>14</v>
      </c>
      <c r="K432" t="str">
        <f>IF(logistics_classification_dataset__1[[#This Row],[Customer_Segment]]="Bireysel","Individual",IF(logistics_classification_dataset__1[[#This Row],[Customer_Segment]]="Kurumsal","Corporate"))</f>
        <v>Corporate</v>
      </c>
      <c r="L432">
        <v>1</v>
      </c>
    </row>
    <row r="433" spans="1:12" x14ac:dyDescent="0.35">
      <c r="A433">
        <v>432</v>
      </c>
      <c r="B433" t="s">
        <v>17</v>
      </c>
      <c r="C433" t="s">
        <v>18</v>
      </c>
      <c r="D433" t="s">
        <v>15</v>
      </c>
      <c r="E433" t="str">
        <f>IF(logistics_classification_dataset__1[[#This Row],[Shipment_Type]]="Kara","Road",IF(logistics_classification_dataset__1[[#This Row],[Shipment_Type]]="Hava","Air",IF(logistics_classification_dataset__1[[#This Row],[Shipment_Type]]="Deniz","Sea")))</f>
        <v>Air</v>
      </c>
      <c r="F433">
        <v>498.03</v>
      </c>
      <c r="G433" t="str">
        <f t="shared" si="12"/>
        <v>0–500</v>
      </c>
      <c r="H433" s="1">
        <v>288.10000000000002</v>
      </c>
      <c r="I433" t="str">
        <f t="shared" si="13"/>
        <v>0–500</v>
      </c>
      <c r="J433" t="s">
        <v>14</v>
      </c>
      <c r="K433" t="str">
        <f>IF(logistics_classification_dataset__1[[#This Row],[Customer_Segment]]="Bireysel","Individual",IF(logistics_classification_dataset__1[[#This Row],[Customer_Segment]]="Kurumsal","Corporate"))</f>
        <v>Corporate</v>
      </c>
      <c r="L433">
        <v>1</v>
      </c>
    </row>
    <row r="434" spans="1:12" x14ac:dyDescent="0.35">
      <c r="A434">
        <v>433</v>
      </c>
      <c r="B434" t="s">
        <v>17</v>
      </c>
      <c r="C434" t="s">
        <v>20</v>
      </c>
      <c r="D434" t="s">
        <v>10</v>
      </c>
      <c r="E434" t="str">
        <f>IF(logistics_classification_dataset__1[[#This Row],[Shipment_Type]]="Kara","Road",IF(logistics_classification_dataset__1[[#This Row],[Shipment_Type]]="Hava","Air",IF(logistics_classification_dataset__1[[#This Row],[Shipment_Type]]="Deniz","Sea")))</f>
        <v>Road</v>
      </c>
      <c r="F434">
        <v>714.93</v>
      </c>
      <c r="G434" t="str">
        <f t="shared" si="12"/>
        <v>501–1000</v>
      </c>
      <c r="H434" s="1">
        <v>266.7</v>
      </c>
      <c r="I434" t="str">
        <f t="shared" si="13"/>
        <v>0–500</v>
      </c>
      <c r="J434" t="s">
        <v>14</v>
      </c>
      <c r="K434" t="str">
        <f>IF(logistics_classification_dataset__1[[#This Row],[Customer_Segment]]="Bireysel","Individual",IF(logistics_classification_dataset__1[[#This Row],[Customer_Segment]]="Kurumsal","Corporate"))</f>
        <v>Corporate</v>
      </c>
      <c r="L434">
        <v>1</v>
      </c>
    </row>
    <row r="435" spans="1:12" x14ac:dyDescent="0.35">
      <c r="A435">
        <v>434</v>
      </c>
      <c r="B435" t="s">
        <v>18</v>
      </c>
      <c r="C435" t="s">
        <v>22</v>
      </c>
      <c r="D435" t="s">
        <v>10</v>
      </c>
      <c r="E435" t="str">
        <f>IF(logistics_classification_dataset__1[[#This Row],[Shipment_Type]]="Kara","Road",IF(logistics_classification_dataset__1[[#This Row],[Shipment_Type]]="Hava","Air",IF(logistics_classification_dataset__1[[#This Row],[Shipment_Type]]="Deniz","Sea")))</f>
        <v>Road</v>
      </c>
      <c r="F435">
        <v>172.42</v>
      </c>
      <c r="G435" t="str">
        <f t="shared" si="12"/>
        <v>0–500</v>
      </c>
      <c r="H435" s="1">
        <v>1313.8</v>
      </c>
      <c r="I435" t="str">
        <f t="shared" si="13"/>
        <v>1001–1500</v>
      </c>
      <c r="J435" t="s">
        <v>14</v>
      </c>
      <c r="K435" t="str">
        <f>IF(logistics_classification_dataset__1[[#This Row],[Customer_Segment]]="Bireysel","Individual",IF(logistics_classification_dataset__1[[#This Row],[Customer_Segment]]="Kurumsal","Corporate"))</f>
        <v>Corporate</v>
      </c>
      <c r="L435">
        <v>1</v>
      </c>
    </row>
    <row r="436" spans="1:12" x14ac:dyDescent="0.35">
      <c r="A436">
        <v>435</v>
      </c>
      <c r="B436" t="s">
        <v>17</v>
      </c>
      <c r="C436" t="s">
        <v>21</v>
      </c>
      <c r="D436" t="s">
        <v>15</v>
      </c>
      <c r="E436" t="str">
        <f>IF(logistics_classification_dataset__1[[#This Row],[Shipment_Type]]="Kara","Road",IF(logistics_classification_dataset__1[[#This Row],[Shipment_Type]]="Hava","Air",IF(logistics_classification_dataset__1[[#This Row],[Shipment_Type]]="Deniz","Sea")))</f>
        <v>Air</v>
      </c>
      <c r="F436">
        <v>670.26</v>
      </c>
      <c r="G436" t="str">
        <f t="shared" si="12"/>
        <v>501–1000</v>
      </c>
      <c r="H436" s="1">
        <v>1756.5</v>
      </c>
      <c r="I436" t="str">
        <f t="shared" si="13"/>
        <v>1501–2000</v>
      </c>
      <c r="J436" t="s">
        <v>11</v>
      </c>
      <c r="K436" t="str">
        <f>IF(logistics_classification_dataset__1[[#This Row],[Customer_Segment]]="Bireysel","Individual",IF(logistics_classification_dataset__1[[#This Row],[Customer_Segment]]="Kurumsal","Corporate"))</f>
        <v>Individual</v>
      </c>
      <c r="L436">
        <v>1</v>
      </c>
    </row>
    <row r="437" spans="1:12" x14ac:dyDescent="0.35">
      <c r="A437">
        <v>436</v>
      </c>
      <c r="B437" t="s">
        <v>9</v>
      </c>
      <c r="C437" t="s">
        <v>20</v>
      </c>
      <c r="D437" t="s">
        <v>10</v>
      </c>
      <c r="E437" t="str">
        <f>IF(logistics_classification_dataset__1[[#This Row],[Shipment_Type]]="Kara","Road",IF(logistics_classification_dataset__1[[#This Row],[Shipment_Type]]="Hava","Air",IF(logistics_classification_dataset__1[[#This Row],[Shipment_Type]]="Deniz","Sea")))</f>
        <v>Road</v>
      </c>
      <c r="F437">
        <v>1356.69</v>
      </c>
      <c r="G437" t="str">
        <f t="shared" si="12"/>
        <v>1001–1500</v>
      </c>
      <c r="H437" s="1">
        <v>1591.5</v>
      </c>
      <c r="I437" t="str">
        <f t="shared" si="13"/>
        <v>1501–2000</v>
      </c>
      <c r="J437" t="s">
        <v>11</v>
      </c>
      <c r="K437" t="str">
        <f>IF(logistics_classification_dataset__1[[#This Row],[Customer_Segment]]="Bireysel","Individual",IF(logistics_classification_dataset__1[[#This Row],[Customer_Segment]]="Kurumsal","Corporate"))</f>
        <v>Individual</v>
      </c>
      <c r="L437">
        <v>0</v>
      </c>
    </row>
    <row r="438" spans="1:12" x14ac:dyDescent="0.35">
      <c r="A438">
        <v>437</v>
      </c>
      <c r="B438" t="s">
        <v>13</v>
      </c>
      <c r="C438" t="s">
        <v>22</v>
      </c>
      <c r="D438" t="s">
        <v>15</v>
      </c>
      <c r="E438" t="str">
        <f>IF(logistics_classification_dataset__1[[#This Row],[Shipment_Type]]="Kara","Road",IF(logistics_classification_dataset__1[[#This Row],[Shipment_Type]]="Hava","Air",IF(logistics_classification_dataset__1[[#This Row],[Shipment_Type]]="Deniz","Sea")))</f>
        <v>Air</v>
      </c>
      <c r="F438">
        <v>148.86000000000001</v>
      </c>
      <c r="G438" t="str">
        <f t="shared" si="12"/>
        <v>0–500</v>
      </c>
      <c r="H438" s="1">
        <v>325.2</v>
      </c>
      <c r="I438" t="str">
        <f t="shared" si="13"/>
        <v>0–500</v>
      </c>
      <c r="J438" t="s">
        <v>11</v>
      </c>
      <c r="K438" t="str">
        <f>IF(logistics_classification_dataset__1[[#This Row],[Customer_Segment]]="Bireysel","Individual",IF(logistics_classification_dataset__1[[#This Row],[Customer_Segment]]="Kurumsal","Corporate"))</f>
        <v>Individual</v>
      </c>
      <c r="L438">
        <v>0</v>
      </c>
    </row>
    <row r="439" spans="1:12" x14ac:dyDescent="0.35">
      <c r="A439">
        <v>438</v>
      </c>
      <c r="B439" t="s">
        <v>16</v>
      </c>
      <c r="C439" t="s">
        <v>20</v>
      </c>
      <c r="D439" t="s">
        <v>15</v>
      </c>
      <c r="E439" t="str">
        <f>IF(logistics_classification_dataset__1[[#This Row],[Shipment_Type]]="Kara","Road",IF(logistics_classification_dataset__1[[#This Row],[Shipment_Type]]="Hava","Air",IF(logistics_classification_dataset__1[[#This Row],[Shipment_Type]]="Deniz","Sea")))</f>
        <v>Air</v>
      </c>
      <c r="F439">
        <v>414.78</v>
      </c>
      <c r="G439" t="str">
        <f t="shared" si="12"/>
        <v>0–500</v>
      </c>
      <c r="H439" s="1">
        <v>1113.9000000000001</v>
      </c>
      <c r="I439" t="str">
        <f t="shared" si="13"/>
        <v>1001–1500</v>
      </c>
      <c r="J439" t="s">
        <v>11</v>
      </c>
      <c r="K439" t="str">
        <f>IF(logistics_classification_dataset__1[[#This Row],[Customer_Segment]]="Bireysel","Individual",IF(logistics_classification_dataset__1[[#This Row],[Customer_Segment]]="Kurumsal","Corporate"))</f>
        <v>Individual</v>
      </c>
      <c r="L439">
        <v>1</v>
      </c>
    </row>
    <row r="440" spans="1:12" x14ac:dyDescent="0.35">
      <c r="A440">
        <v>439</v>
      </c>
      <c r="B440" t="s">
        <v>12</v>
      </c>
      <c r="C440" t="s">
        <v>16</v>
      </c>
      <c r="D440" t="s">
        <v>15</v>
      </c>
      <c r="E440" t="str">
        <f>IF(logistics_classification_dataset__1[[#This Row],[Shipment_Type]]="Kara","Road",IF(logistics_classification_dataset__1[[#This Row],[Shipment_Type]]="Hava","Air",IF(logistics_classification_dataset__1[[#This Row],[Shipment_Type]]="Deniz","Sea")))</f>
        <v>Air</v>
      </c>
      <c r="F440">
        <v>765.97</v>
      </c>
      <c r="G440" t="str">
        <f t="shared" si="12"/>
        <v>501–1000</v>
      </c>
      <c r="H440" s="1">
        <v>255.9</v>
      </c>
      <c r="I440" t="str">
        <f t="shared" si="13"/>
        <v>0–500</v>
      </c>
      <c r="J440" t="s">
        <v>11</v>
      </c>
      <c r="K440" t="str">
        <f>IF(logistics_classification_dataset__1[[#This Row],[Customer_Segment]]="Bireysel","Individual",IF(logistics_classification_dataset__1[[#This Row],[Customer_Segment]]="Kurumsal","Corporate"))</f>
        <v>Individual</v>
      </c>
      <c r="L440">
        <v>1</v>
      </c>
    </row>
    <row r="441" spans="1:12" x14ac:dyDescent="0.35">
      <c r="A441">
        <v>440</v>
      </c>
      <c r="B441" t="s">
        <v>13</v>
      </c>
      <c r="C441" t="s">
        <v>22</v>
      </c>
      <c r="D441" t="s">
        <v>10</v>
      </c>
      <c r="E441" t="str">
        <f>IF(logistics_classification_dataset__1[[#This Row],[Shipment_Type]]="Kara","Road",IF(logistics_classification_dataset__1[[#This Row],[Shipment_Type]]="Hava","Air",IF(logistics_classification_dataset__1[[#This Row],[Shipment_Type]]="Deniz","Sea")))</f>
        <v>Road</v>
      </c>
      <c r="F441">
        <v>1964.19</v>
      </c>
      <c r="G441" t="str">
        <f t="shared" si="12"/>
        <v>1501–2000</v>
      </c>
      <c r="H441" s="1">
        <v>138.30000000000001</v>
      </c>
      <c r="I441" t="str">
        <f t="shared" si="13"/>
        <v>0–500</v>
      </c>
      <c r="J441" t="s">
        <v>11</v>
      </c>
      <c r="K441" t="str">
        <f>IF(logistics_classification_dataset__1[[#This Row],[Customer_Segment]]="Bireysel","Individual",IF(logistics_classification_dataset__1[[#This Row],[Customer_Segment]]="Kurumsal","Corporate"))</f>
        <v>Individual</v>
      </c>
      <c r="L441">
        <v>1</v>
      </c>
    </row>
    <row r="442" spans="1:12" x14ac:dyDescent="0.35">
      <c r="A442">
        <v>441</v>
      </c>
      <c r="B442" t="s">
        <v>8</v>
      </c>
      <c r="C442" t="s">
        <v>13</v>
      </c>
      <c r="D442" t="s">
        <v>19</v>
      </c>
      <c r="E442" t="str">
        <f>IF(logistics_classification_dataset__1[[#This Row],[Shipment_Type]]="Kara","Road",IF(logistics_classification_dataset__1[[#This Row],[Shipment_Type]]="Hava","Air",IF(logistics_classification_dataset__1[[#This Row],[Shipment_Type]]="Deniz","Sea")))</f>
        <v>Sea</v>
      </c>
      <c r="F442">
        <v>157.08000000000001</v>
      </c>
      <c r="G442" t="str">
        <f t="shared" si="12"/>
        <v>0–500</v>
      </c>
      <c r="H442" s="1">
        <v>1330</v>
      </c>
      <c r="I442" t="str">
        <f t="shared" si="13"/>
        <v>1001–1500</v>
      </c>
      <c r="J442" t="s">
        <v>14</v>
      </c>
      <c r="K442" t="str">
        <f>IF(logistics_classification_dataset__1[[#This Row],[Customer_Segment]]="Bireysel","Individual",IF(logistics_classification_dataset__1[[#This Row],[Customer_Segment]]="Kurumsal","Corporate"))</f>
        <v>Corporate</v>
      </c>
      <c r="L442">
        <v>1</v>
      </c>
    </row>
    <row r="443" spans="1:12" x14ac:dyDescent="0.35">
      <c r="A443">
        <v>442</v>
      </c>
      <c r="B443" t="s">
        <v>22</v>
      </c>
      <c r="C443" t="s">
        <v>21</v>
      </c>
      <c r="D443" t="s">
        <v>10</v>
      </c>
      <c r="E443" t="str">
        <f>IF(logistics_classification_dataset__1[[#This Row],[Shipment_Type]]="Kara","Road",IF(logistics_classification_dataset__1[[#This Row],[Shipment_Type]]="Hava","Air",IF(logistics_classification_dataset__1[[#This Row],[Shipment_Type]]="Deniz","Sea")))</f>
        <v>Road</v>
      </c>
      <c r="F443">
        <v>1468.31</v>
      </c>
      <c r="G443" t="str">
        <f t="shared" si="12"/>
        <v>1001–1500</v>
      </c>
      <c r="H443" s="1">
        <v>1093.5</v>
      </c>
      <c r="I443" t="str">
        <f t="shared" si="13"/>
        <v>1001–1500</v>
      </c>
      <c r="J443" t="s">
        <v>11</v>
      </c>
      <c r="K443" t="str">
        <f>IF(logistics_classification_dataset__1[[#This Row],[Customer_Segment]]="Bireysel","Individual",IF(logistics_classification_dataset__1[[#This Row],[Customer_Segment]]="Kurumsal","Corporate"))</f>
        <v>Individual</v>
      </c>
      <c r="L443">
        <v>1</v>
      </c>
    </row>
    <row r="444" spans="1:12" x14ac:dyDescent="0.35">
      <c r="A444">
        <v>443</v>
      </c>
      <c r="B444" t="s">
        <v>9</v>
      </c>
      <c r="C444" t="s">
        <v>13</v>
      </c>
      <c r="D444" t="s">
        <v>15</v>
      </c>
      <c r="E444" t="str">
        <f>IF(logistics_classification_dataset__1[[#This Row],[Shipment_Type]]="Kara","Road",IF(logistics_classification_dataset__1[[#This Row],[Shipment_Type]]="Hava","Air",IF(logistics_classification_dataset__1[[#This Row],[Shipment_Type]]="Deniz","Sea")))</f>
        <v>Air</v>
      </c>
      <c r="F444">
        <v>23.68</v>
      </c>
      <c r="G444" t="str">
        <f t="shared" si="12"/>
        <v>0–500</v>
      </c>
      <c r="H444" s="1">
        <v>209.9</v>
      </c>
      <c r="I444" t="str">
        <f t="shared" si="13"/>
        <v>0–500</v>
      </c>
      <c r="J444" t="s">
        <v>14</v>
      </c>
      <c r="K444" t="str">
        <f>IF(logistics_classification_dataset__1[[#This Row],[Customer_Segment]]="Bireysel","Individual",IF(logistics_classification_dataset__1[[#This Row],[Customer_Segment]]="Kurumsal","Corporate"))</f>
        <v>Corporate</v>
      </c>
      <c r="L444">
        <v>1</v>
      </c>
    </row>
    <row r="445" spans="1:12" x14ac:dyDescent="0.35">
      <c r="A445">
        <v>444</v>
      </c>
      <c r="B445" t="s">
        <v>12</v>
      </c>
      <c r="C445" t="s">
        <v>16</v>
      </c>
      <c r="D445" t="s">
        <v>10</v>
      </c>
      <c r="E445" t="str">
        <f>IF(logistics_classification_dataset__1[[#This Row],[Shipment_Type]]="Kara","Road",IF(logistics_classification_dataset__1[[#This Row],[Shipment_Type]]="Hava","Air",IF(logistics_classification_dataset__1[[#This Row],[Shipment_Type]]="Deniz","Sea")))</f>
        <v>Road</v>
      </c>
      <c r="F445">
        <v>1563.09</v>
      </c>
      <c r="G445" t="str">
        <f t="shared" si="12"/>
        <v>1501–2000</v>
      </c>
      <c r="H445" s="1">
        <v>118.1</v>
      </c>
      <c r="I445" t="str">
        <f t="shared" si="13"/>
        <v>0–500</v>
      </c>
      <c r="J445" t="s">
        <v>14</v>
      </c>
      <c r="K445" t="str">
        <f>IF(logistics_classification_dataset__1[[#This Row],[Customer_Segment]]="Bireysel","Individual",IF(logistics_classification_dataset__1[[#This Row],[Customer_Segment]]="Kurumsal","Corporate"))</f>
        <v>Corporate</v>
      </c>
      <c r="L445">
        <v>0</v>
      </c>
    </row>
    <row r="446" spans="1:12" x14ac:dyDescent="0.35">
      <c r="A446">
        <v>445</v>
      </c>
      <c r="B446" t="s">
        <v>13</v>
      </c>
      <c r="C446" t="s">
        <v>17</v>
      </c>
      <c r="D446" t="s">
        <v>10</v>
      </c>
      <c r="E446" t="str">
        <f>IF(logistics_classification_dataset__1[[#This Row],[Shipment_Type]]="Kara","Road",IF(logistics_classification_dataset__1[[#This Row],[Shipment_Type]]="Hava","Air",IF(logistics_classification_dataset__1[[#This Row],[Shipment_Type]]="Deniz","Sea")))</f>
        <v>Road</v>
      </c>
      <c r="F446">
        <v>1571.61</v>
      </c>
      <c r="G446" t="str">
        <f t="shared" si="12"/>
        <v>1501–2000</v>
      </c>
      <c r="H446" s="1">
        <v>1980</v>
      </c>
      <c r="I446" t="str">
        <f t="shared" si="13"/>
        <v>1501–2000</v>
      </c>
      <c r="J446" t="s">
        <v>11</v>
      </c>
      <c r="K446" t="str">
        <f>IF(logistics_classification_dataset__1[[#This Row],[Customer_Segment]]="Bireysel","Individual",IF(logistics_classification_dataset__1[[#This Row],[Customer_Segment]]="Kurumsal","Corporate"))</f>
        <v>Individual</v>
      </c>
      <c r="L446">
        <v>0</v>
      </c>
    </row>
    <row r="447" spans="1:12" x14ac:dyDescent="0.35">
      <c r="A447">
        <v>446</v>
      </c>
      <c r="B447" t="s">
        <v>22</v>
      </c>
      <c r="C447" t="s">
        <v>8</v>
      </c>
      <c r="D447" t="s">
        <v>10</v>
      </c>
      <c r="E447" t="str">
        <f>IF(logistics_classification_dataset__1[[#This Row],[Shipment_Type]]="Kara","Road",IF(logistics_classification_dataset__1[[#This Row],[Shipment_Type]]="Hava","Air",IF(logistics_classification_dataset__1[[#This Row],[Shipment_Type]]="Deniz","Sea")))</f>
        <v>Road</v>
      </c>
      <c r="F447">
        <v>120.42</v>
      </c>
      <c r="G447" t="str">
        <f t="shared" si="12"/>
        <v>0–500</v>
      </c>
      <c r="H447" s="1">
        <v>108.5</v>
      </c>
      <c r="I447" t="str">
        <f t="shared" si="13"/>
        <v>0–500</v>
      </c>
      <c r="J447" t="s">
        <v>11</v>
      </c>
      <c r="K447" t="str">
        <f>IF(logistics_classification_dataset__1[[#This Row],[Customer_Segment]]="Bireysel","Individual",IF(logistics_classification_dataset__1[[#This Row],[Customer_Segment]]="Kurumsal","Corporate"))</f>
        <v>Individual</v>
      </c>
      <c r="L447">
        <v>1</v>
      </c>
    </row>
    <row r="448" spans="1:12" x14ac:dyDescent="0.35">
      <c r="A448">
        <v>447</v>
      </c>
      <c r="B448" t="s">
        <v>18</v>
      </c>
      <c r="C448" t="s">
        <v>21</v>
      </c>
      <c r="D448" t="s">
        <v>19</v>
      </c>
      <c r="E448" t="str">
        <f>IF(logistics_classification_dataset__1[[#This Row],[Shipment_Type]]="Kara","Road",IF(logistics_classification_dataset__1[[#This Row],[Shipment_Type]]="Hava","Air",IF(logistics_classification_dataset__1[[#This Row],[Shipment_Type]]="Deniz","Sea")))</f>
        <v>Sea</v>
      </c>
      <c r="F448">
        <v>1980.77</v>
      </c>
      <c r="G448" t="str">
        <f t="shared" si="12"/>
        <v>1501–2000</v>
      </c>
      <c r="H448" s="1">
        <v>916.8</v>
      </c>
      <c r="I448" t="str">
        <f t="shared" si="13"/>
        <v>501–1000</v>
      </c>
      <c r="J448" t="s">
        <v>11</v>
      </c>
      <c r="K448" t="str">
        <f>IF(logistics_classification_dataset__1[[#This Row],[Customer_Segment]]="Bireysel","Individual",IF(logistics_classification_dataset__1[[#This Row],[Customer_Segment]]="Kurumsal","Corporate"))</f>
        <v>Individual</v>
      </c>
      <c r="L448">
        <v>1</v>
      </c>
    </row>
    <row r="449" spans="1:12" x14ac:dyDescent="0.35">
      <c r="A449">
        <v>448</v>
      </c>
      <c r="B449" t="s">
        <v>9</v>
      </c>
      <c r="C449" t="s">
        <v>16</v>
      </c>
      <c r="D449" t="s">
        <v>19</v>
      </c>
      <c r="E449" t="str">
        <f>IF(logistics_classification_dataset__1[[#This Row],[Shipment_Type]]="Kara","Road",IF(logistics_classification_dataset__1[[#This Row],[Shipment_Type]]="Hava","Air",IF(logistics_classification_dataset__1[[#This Row],[Shipment_Type]]="Deniz","Sea")))</f>
        <v>Sea</v>
      </c>
      <c r="F449">
        <v>653.88</v>
      </c>
      <c r="G449" t="str">
        <f t="shared" si="12"/>
        <v>501–1000</v>
      </c>
      <c r="H449" s="1">
        <v>1034</v>
      </c>
      <c r="I449" t="str">
        <f t="shared" si="13"/>
        <v>1001–1500</v>
      </c>
      <c r="J449" t="s">
        <v>14</v>
      </c>
      <c r="K449" t="str">
        <f>IF(logistics_classification_dataset__1[[#This Row],[Customer_Segment]]="Bireysel","Individual",IF(logistics_classification_dataset__1[[#This Row],[Customer_Segment]]="Kurumsal","Corporate"))</f>
        <v>Corporate</v>
      </c>
      <c r="L449">
        <v>1</v>
      </c>
    </row>
    <row r="450" spans="1:12" x14ac:dyDescent="0.35">
      <c r="A450">
        <v>449</v>
      </c>
      <c r="B450" t="s">
        <v>9</v>
      </c>
      <c r="C450" t="s">
        <v>16</v>
      </c>
      <c r="D450" t="s">
        <v>10</v>
      </c>
      <c r="E450" t="str">
        <f>IF(logistics_classification_dataset__1[[#This Row],[Shipment_Type]]="Kara","Road",IF(logistics_classification_dataset__1[[#This Row],[Shipment_Type]]="Hava","Air",IF(logistics_classification_dataset__1[[#This Row],[Shipment_Type]]="Deniz","Sea")))</f>
        <v>Road</v>
      </c>
      <c r="F450">
        <v>1882.84</v>
      </c>
      <c r="G450" t="str">
        <f t="shared" ref="G450:G513" si="14">IF(F450&lt;=500,"0–500",IF(F450&lt;=1000,"501–1000",IF(F450&lt;=1500,"1001–1500","1501–2000")))</f>
        <v>1501–2000</v>
      </c>
      <c r="H450" s="1">
        <v>278.7</v>
      </c>
      <c r="I450" t="str">
        <f t="shared" ref="I450:I513" si="15">IF(H450&lt;=500,"0–500",IF(H450&lt;=1000,"501–1000",IF(H450&lt;=1500,"1001–1500",IF(H450&lt;=2000,"1501–2000","&gt;2000"))))</f>
        <v>0–500</v>
      </c>
      <c r="J450" t="s">
        <v>14</v>
      </c>
      <c r="K450" t="str">
        <f>IF(logistics_classification_dataset__1[[#This Row],[Customer_Segment]]="Bireysel","Individual",IF(logistics_classification_dataset__1[[#This Row],[Customer_Segment]]="Kurumsal","Corporate"))</f>
        <v>Corporate</v>
      </c>
      <c r="L450">
        <v>1</v>
      </c>
    </row>
    <row r="451" spans="1:12" x14ac:dyDescent="0.35">
      <c r="A451">
        <v>450</v>
      </c>
      <c r="B451" t="s">
        <v>18</v>
      </c>
      <c r="C451" t="s">
        <v>9</v>
      </c>
      <c r="D451" t="s">
        <v>10</v>
      </c>
      <c r="E451" t="str">
        <f>IF(logistics_classification_dataset__1[[#This Row],[Shipment_Type]]="Kara","Road",IF(logistics_classification_dataset__1[[#This Row],[Shipment_Type]]="Hava","Air",IF(logistics_classification_dataset__1[[#This Row],[Shipment_Type]]="Deniz","Sea")))</f>
        <v>Road</v>
      </c>
      <c r="F451">
        <v>1829.89</v>
      </c>
      <c r="G451" t="str">
        <f t="shared" si="14"/>
        <v>1501–2000</v>
      </c>
      <c r="H451" s="1">
        <v>379.7</v>
      </c>
      <c r="I451" t="str">
        <f t="shared" si="15"/>
        <v>0–500</v>
      </c>
      <c r="J451" t="s">
        <v>14</v>
      </c>
      <c r="K451" t="str">
        <f>IF(logistics_classification_dataset__1[[#This Row],[Customer_Segment]]="Bireysel","Individual",IF(logistics_classification_dataset__1[[#This Row],[Customer_Segment]]="Kurumsal","Corporate"))</f>
        <v>Corporate</v>
      </c>
      <c r="L451">
        <v>1</v>
      </c>
    </row>
    <row r="452" spans="1:12" x14ac:dyDescent="0.35">
      <c r="A452">
        <v>451</v>
      </c>
      <c r="B452" t="s">
        <v>16</v>
      </c>
      <c r="C452" t="s">
        <v>22</v>
      </c>
      <c r="D452" t="s">
        <v>15</v>
      </c>
      <c r="E452" t="str">
        <f>IF(logistics_classification_dataset__1[[#This Row],[Shipment_Type]]="Kara","Road",IF(logistics_classification_dataset__1[[#This Row],[Shipment_Type]]="Hava","Air",IF(logistics_classification_dataset__1[[#This Row],[Shipment_Type]]="Deniz","Sea")))</f>
        <v>Air</v>
      </c>
      <c r="F452">
        <v>2.79</v>
      </c>
      <c r="G452" t="str">
        <f t="shared" si="14"/>
        <v>0–500</v>
      </c>
      <c r="H452" s="1">
        <v>736</v>
      </c>
      <c r="I452" t="str">
        <f t="shared" si="15"/>
        <v>501–1000</v>
      </c>
      <c r="J452" t="s">
        <v>11</v>
      </c>
      <c r="K452" t="str">
        <f>IF(logistics_classification_dataset__1[[#This Row],[Customer_Segment]]="Bireysel","Individual",IF(logistics_classification_dataset__1[[#This Row],[Customer_Segment]]="Kurumsal","Corporate"))</f>
        <v>Individual</v>
      </c>
      <c r="L452">
        <v>1</v>
      </c>
    </row>
    <row r="453" spans="1:12" x14ac:dyDescent="0.35">
      <c r="A453">
        <v>452</v>
      </c>
      <c r="B453" t="s">
        <v>18</v>
      </c>
      <c r="C453" t="s">
        <v>13</v>
      </c>
      <c r="D453" t="s">
        <v>10</v>
      </c>
      <c r="E453" t="str">
        <f>IF(logistics_classification_dataset__1[[#This Row],[Shipment_Type]]="Kara","Road",IF(logistics_classification_dataset__1[[#This Row],[Shipment_Type]]="Hava","Air",IF(logistics_classification_dataset__1[[#This Row],[Shipment_Type]]="Deniz","Sea")))</f>
        <v>Road</v>
      </c>
      <c r="F453">
        <v>902.98</v>
      </c>
      <c r="G453" t="str">
        <f t="shared" si="14"/>
        <v>501–1000</v>
      </c>
      <c r="H453" s="1">
        <v>1535.3</v>
      </c>
      <c r="I453" t="str">
        <f t="shared" si="15"/>
        <v>1501–2000</v>
      </c>
      <c r="J453" t="s">
        <v>11</v>
      </c>
      <c r="K453" t="str">
        <f>IF(logistics_classification_dataset__1[[#This Row],[Customer_Segment]]="Bireysel","Individual",IF(logistics_classification_dataset__1[[#This Row],[Customer_Segment]]="Kurumsal","Corporate"))</f>
        <v>Individual</v>
      </c>
      <c r="L453">
        <v>1</v>
      </c>
    </row>
    <row r="454" spans="1:12" x14ac:dyDescent="0.35">
      <c r="A454">
        <v>453</v>
      </c>
      <c r="B454" t="s">
        <v>9</v>
      </c>
      <c r="C454" t="s">
        <v>18</v>
      </c>
      <c r="D454" t="s">
        <v>10</v>
      </c>
      <c r="E454" t="str">
        <f>IF(logistics_classification_dataset__1[[#This Row],[Shipment_Type]]="Kara","Road",IF(logistics_classification_dataset__1[[#This Row],[Shipment_Type]]="Hava","Air",IF(logistics_classification_dataset__1[[#This Row],[Shipment_Type]]="Deniz","Sea")))</f>
        <v>Road</v>
      </c>
      <c r="F454">
        <v>1954.32</v>
      </c>
      <c r="G454" t="str">
        <f t="shared" si="14"/>
        <v>1501–2000</v>
      </c>
      <c r="H454" s="1">
        <v>1038.8</v>
      </c>
      <c r="I454" t="str">
        <f t="shared" si="15"/>
        <v>1001–1500</v>
      </c>
      <c r="J454" t="s">
        <v>11</v>
      </c>
      <c r="K454" t="str">
        <f>IF(logistics_classification_dataset__1[[#This Row],[Customer_Segment]]="Bireysel","Individual",IF(logistics_classification_dataset__1[[#This Row],[Customer_Segment]]="Kurumsal","Corporate"))</f>
        <v>Individual</v>
      </c>
      <c r="L454">
        <v>1</v>
      </c>
    </row>
    <row r="455" spans="1:12" x14ac:dyDescent="0.35">
      <c r="A455">
        <v>454</v>
      </c>
      <c r="B455" t="s">
        <v>9</v>
      </c>
      <c r="C455" t="s">
        <v>17</v>
      </c>
      <c r="D455" t="s">
        <v>15</v>
      </c>
      <c r="E455" t="str">
        <f>IF(logistics_classification_dataset__1[[#This Row],[Shipment_Type]]="Kara","Road",IF(logistics_classification_dataset__1[[#This Row],[Shipment_Type]]="Hava","Air",IF(logistics_classification_dataset__1[[#This Row],[Shipment_Type]]="Deniz","Sea")))</f>
        <v>Air</v>
      </c>
      <c r="F455">
        <v>210.73</v>
      </c>
      <c r="G455" t="str">
        <f t="shared" si="14"/>
        <v>0–500</v>
      </c>
      <c r="H455" s="1">
        <v>1293.9000000000001</v>
      </c>
      <c r="I455" t="str">
        <f t="shared" si="15"/>
        <v>1001–1500</v>
      </c>
      <c r="J455" t="s">
        <v>14</v>
      </c>
      <c r="K455" t="str">
        <f>IF(logistics_classification_dataset__1[[#This Row],[Customer_Segment]]="Bireysel","Individual",IF(logistics_classification_dataset__1[[#This Row],[Customer_Segment]]="Kurumsal","Corporate"))</f>
        <v>Corporate</v>
      </c>
      <c r="L455">
        <v>1</v>
      </c>
    </row>
    <row r="456" spans="1:12" x14ac:dyDescent="0.35">
      <c r="A456">
        <v>455</v>
      </c>
      <c r="B456" t="s">
        <v>13</v>
      </c>
      <c r="C456" t="s">
        <v>18</v>
      </c>
      <c r="D456" t="s">
        <v>10</v>
      </c>
      <c r="E456" t="str">
        <f>IF(logistics_classification_dataset__1[[#This Row],[Shipment_Type]]="Kara","Road",IF(logistics_classification_dataset__1[[#This Row],[Shipment_Type]]="Hava","Air",IF(logistics_classification_dataset__1[[#This Row],[Shipment_Type]]="Deniz","Sea")))</f>
        <v>Road</v>
      </c>
      <c r="F456">
        <v>1097.83</v>
      </c>
      <c r="G456" t="str">
        <f t="shared" si="14"/>
        <v>1001–1500</v>
      </c>
      <c r="H456" s="1">
        <v>1971.1</v>
      </c>
      <c r="I456" t="str">
        <f t="shared" si="15"/>
        <v>1501–2000</v>
      </c>
      <c r="J456" t="s">
        <v>11</v>
      </c>
      <c r="K456" t="str">
        <f>IF(logistics_classification_dataset__1[[#This Row],[Customer_Segment]]="Bireysel","Individual",IF(logistics_classification_dataset__1[[#This Row],[Customer_Segment]]="Kurumsal","Corporate"))</f>
        <v>Individual</v>
      </c>
      <c r="L456">
        <v>1</v>
      </c>
    </row>
    <row r="457" spans="1:12" x14ac:dyDescent="0.35">
      <c r="A457">
        <v>456</v>
      </c>
      <c r="B457" t="s">
        <v>17</v>
      </c>
      <c r="C457" t="s">
        <v>13</v>
      </c>
      <c r="D457" t="s">
        <v>19</v>
      </c>
      <c r="E457" t="str">
        <f>IF(logistics_classification_dataset__1[[#This Row],[Shipment_Type]]="Kara","Road",IF(logistics_classification_dataset__1[[#This Row],[Shipment_Type]]="Hava","Air",IF(logistics_classification_dataset__1[[#This Row],[Shipment_Type]]="Deniz","Sea")))</f>
        <v>Sea</v>
      </c>
      <c r="F457">
        <v>1958.02</v>
      </c>
      <c r="G457" t="str">
        <f t="shared" si="14"/>
        <v>1501–2000</v>
      </c>
      <c r="H457" s="1">
        <v>1547.6</v>
      </c>
      <c r="I457" t="str">
        <f t="shared" si="15"/>
        <v>1501–2000</v>
      </c>
      <c r="J457" t="s">
        <v>11</v>
      </c>
      <c r="K457" t="str">
        <f>IF(logistics_classification_dataset__1[[#This Row],[Customer_Segment]]="Bireysel","Individual",IF(logistics_classification_dataset__1[[#This Row],[Customer_Segment]]="Kurumsal","Corporate"))</f>
        <v>Individual</v>
      </c>
      <c r="L457">
        <v>1</v>
      </c>
    </row>
    <row r="458" spans="1:12" x14ac:dyDescent="0.35">
      <c r="A458">
        <v>457</v>
      </c>
      <c r="B458" t="s">
        <v>22</v>
      </c>
      <c r="C458" t="s">
        <v>13</v>
      </c>
      <c r="D458" t="s">
        <v>10</v>
      </c>
      <c r="E458" t="str">
        <f>IF(logistics_classification_dataset__1[[#This Row],[Shipment_Type]]="Kara","Road",IF(logistics_classification_dataset__1[[#This Row],[Shipment_Type]]="Hava","Air",IF(logistics_classification_dataset__1[[#This Row],[Shipment_Type]]="Deniz","Sea")))</f>
        <v>Road</v>
      </c>
      <c r="F458">
        <v>1113.21</v>
      </c>
      <c r="G458" t="str">
        <f t="shared" si="14"/>
        <v>1001–1500</v>
      </c>
      <c r="H458" s="1">
        <v>897</v>
      </c>
      <c r="I458" t="str">
        <f t="shared" si="15"/>
        <v>501–1000</v>
      </c>
      <c r="J458" t="s">
        <v>11</v>
      </c>
      <c r="K458" t="str">
        <f>IF(logistics_classification_dataset__1[[#This Row],[Customer_Segment]]="Bireysel","Individual",IF(logistics_classification_dataset__1[[#This Row],[Customer_Segment]]="Kurumsal","Corporate"))</f>
        <v>Individual</v>
      </c>
      <c r="L458">
        <v>1</v>
      </c>
    </row>
    <row r="459" spans="1:12" x14ac:dyDescent="0.35">
      <c r="A459">
        <v>458</v>
      </c>
      <c r="B459" t="s">
        <v>18</v>
      </c>
      <c r="C459" t="s">
        <v>22</v>
      </c>
      <c r="D459" t="s">
        <v>10</v>
      </c>
      <c r="E459" t="str">
        <f>IF(logistics_classification_dataset__1[[#This Row],[Shipment_Type]]="Kara","Road",IF(logistics_classification_dataset__1[[#This Row],[Shipment_Type]]="Hava","Air",IF(logistics_classification_dataset__1[[#This Row],[Shipment_Type]]="Deniz","Sea")))</f>
        <v>Road</v>
      </c>
      <c r="F459">
        <v>383.68</v>
      </c>
      <c r="G459" t="str">
        <f t="shared" si="14"/>
        <v>0–500</v>
      </c>
      <c r="H459" s="1">
        <v>920.6</v>
      </c>
      <c r="I459" t="str">
        <f t="shared" si="15"/>
        <v>501–1000</v>
      </c>
      <c r="J459" t="s">
        <v>11</v>
      </c>
      <c r="K459" t="str">
        <f>IF(logistics_classification_dataset__1[[#This Row],[Customer_Segment]]="Bireysel","Individual",IF(logistics_classification_dataset__1[[#This Row],[Customer_Segment]]="Kurumsal","Corporate"))</f>
        <v>Individual</v>
      </c>
      <c r="L459">
        <v>1</v>
      </c>
    </row>
    <row r="460" spans="1:12" x14ac:dyDescent="0.35">
      <c r="A460">
        <v>459</v>
      </c>
      <c r="B460" t="s">
        <v>22</v>
      </c>
      <c r="C460" t="s">
        <v>13</v>
      </c>
      <c r="D460" t="s">
        <v>10</v>
      </c>
      <c r="E460" t="str">
        <f>IF(logistics_classification_dataset__1[[#This Row],[Shipment_Type]]="Kara","Road",IF(logistics_classification_dataset__1[[#This Row],[Shipment_Type]]="Hava","Air",IF(logistics_classification_dataset__1[[#This Row],[Shipment_Type]]="Deniz","Sea")))</f>
        <v>Road</v>
      </c>
      <c r="F460">
        <v>1166.46</v>
      </c>
      <c r="G460" t="str">
        <f t="shared" si="14"/>
        <v>1001–1500</v>
      </c>
      <c r="H460" s="1">
        <v>1256.5999999999999</v>
      </c>
      <c r="I460" t="str">
        <f t="shared" si="15"/>
        <v>1001–1500</v>
      </c>
      <c r="J460" t="s">
        <v>11</v>
      </c>
      <c r="K460" t="str">
        <f>IF(logistics_classification_dataset__1[[#This Row],[Customer_Segment]]="Bireysel","Individual",IF(logistics_classification_dataset__1[[#This Row],[Customer_Segment]]="Kurumsal","Corporate"))</f>
        <v>Individual</v>
      </c>
      <c r="L460">
        <v>0</v>
      </c>
    </row>
    <row r="461" spans="1:12" x14ac:dyDescent="0.35">
      <c r="A461">
        <v>460</v>
      </c>
      <c r="B461" t="s">
        <v>18</v>
      </c>
      <c r="C461" t="s">
        <v>9</v>
      </c>
      <c r="D461" t="s">
        <v>15</v>
      </c>
      <c r="E461" t="str">
        <f>IF(logistics_classification_dataset__1[[#This Row],[Shipment_Type]]="Kara","Road",IF(logistics_classification_dataset__1[[#This Row],[Shipment_Type]]="Hava","Air",IF(logistics_classification_dataset__1[[#This Row],[Shipment_Type]]="Deniz","Sea")))</f>
        <v>Air</v>
      </c>
      <c r="F461">
        <v>412.86</v>
      </c>
      <c r="G461" t="str">
        <f t="shared" si="14"/>
        <v>0–500</v>
      </c>
      <c r="H461" s="1">
        <v>1347.5</v>
      </c>
      <c r="I461" t="str">
        <f t="shared" si="15"/>
        <v>1001–1500</v>
      </c>
      <c r="J461" t="s">
        <v>11</v>
      </c>
      <c r="K461" t="str">
        <f>IF(logistics_classification_dataset__1[[#This Row],[Customer_Segment]]="Bireysel","Individual",IF(logistics_classification_dataset__1[[#This Row],[Customer_Segment]]="Kurumsal","Corporate"))</f>
        <v>Individual</v>
      </c>
      <c r="L461">
        <v>1</v>
      </c>
    </row>
    <row r="462" spans="1:12" x14ac:dyDescent="0.35">
      <c r="A462">
        <v>461</v>
      </c>
      <c r="B462" t="s">
        <v>8</v>
      </c>
      <c r="C462" t="s">
        <v>21</v>
      </c>
      <c r="D462" t="s">
        <v>10</v>
      </c>
      <c r="E462" t="str">
        <f>IF(logistics_classification_dataset__1[[#This Row],[Shipment_Type]]="Kara","Road",IF(logistics_classification_dataset__1[[#This Row],[Shipment_Type]]="Hava","Air",IF(logistics_classification_dataset__1[[#This Row],[Shipment_Type]]="Deniz","Sea")))</f>
        <v>Road</v>
      </c>
      <c r="F462">
        <v>1041.81</v>
      </c>
      <c r="G462" t="str">
        <f t="shared" si="14"/>
        <v>1001–1500</v>
      </c>
      <c r="H462" s="1">
        <v>1026.4000000000001</v>
      </c>
      <c r="I462" t="str">
        <f t="shared" si="15"/>
        <v>1001–1500</v>
      </c>
      <c r="J462" t="s">
        <v>11</v>
      </c>
      <c r="K462" t="str">
        <f>IF(logistics_classification_dataset__1[[#This Row],[Customer_Segment]]="Bireysel","Individual",IF(logistics_classification_dataset__1[[#This Row],[Customer_Segment]]="Kurumsal","Corporate"))</f>
        <v>Individual</v>
      </c>
      <c r="L462">
        <v>1</v>
      </c>
    </row>
    <row r="463" spans="1:12" x14ac:dyDescent="0.35">
      <c r="A463">
        <v>462</v>
      </c>
      <c r="B463" t="s">
        <v>9</v>
      </c>
      <c r="C463" t="s">
        <v>13</v>
      </c>
      <c r="D463" t="s">
        <v>15</v>
      </c>
      <c r="E463" t="str">
        <f>IF(logistics_classification_dataset__1[[#This Row],[Shipment_Type]]="Kara","Road",IF(logistics_classification_dataset__1[[#This Row],[Shipment_Type]]="Hava","Air",IF(logistics_classification_dataset__1[[#This Row],[Shipment_Type]]="Deniz","Sea")))</f>
        <v>Air</v>
      </c>
      <c r="F463">
        <v>152.71</v>
      </c>
      <c r="G463" t="str">
        <f t="shared" si="14"/>
        <v>0–500</v>
      </c>
      <c r="H463" s="1">
        <v>1307.5</v>
      </c>
      <c r="I463" t="str">
        <f t="shared" si="15"/>
        <v>1001–1500</v>
      </c>
      <c r="J463" t="s">
        <v>11</v>
      </c>
      <c r="K463" t="str">
        <f>IF(logistics_classification_dataset__1[[#This Row],[Customer_Segment]]="Bireysel","Individual",IF(logistics_classification_dataset__1[[#This Row],[Customer_Segment]]="Kurumsal","Corporate"))</f>
        <v>Individual</v>
      </c>
      <c r="L463">
        <v>1</v>
      </c>
    </row>
    <row r="464" spans="1:12" x14ac:dyDescent="0.35">
      <c r="A464">
        <v>463</v>
      </c>
      <c r="B464" t="s">
        <v>17</v>
      </c>
      <c r="C464" t="s">
        <v>18</v>
      </c>
      <c r="D464" t="s">
        <v>10</v>
      </c>
      <c r="E464" t="str">
        <f>IF(logistics_classification_dataset__1[[#This Row],[Shipment_Type]]="Kara","Road",IF(logistics_classification_dataset__1[[#This Row],[Shipment_Type]]="Hava","Air",IF(logistics_classification_dataset__1[[#This Row],[Shipment_Type]]="Deniz","Sea")))</f>
        <v>Road</v>
      </c>
      <c r="F464">
        <v>1212.94</v>
      </c>
      <c r="G464" t="str">
        <f t="shared" si="14"/>
        <v>1001–1500</v>
      </c>
      <c r="H464" s="1">
        <v>95.9</v>
      </c>
      <c r="I464" t="str">
        <f t="shared" si="15"/>
        <v>0–500</v>
      </c>
      <c r="J464" t="s">
        <v>14</v>
      </c>
      <c r="K464" t="str">
        <f>IF(logistics_classification_dataset__1[[#This Row],[Customer_Segment]]="Bireysel","Individual",IF(logistics_classification_dataset__1[[#This Row],[Customer_Segment]]="Kurumsal","Corporate"))</f>
        <v>Corporate</v>
      </c>
      <c r="L464">
        <v>1</v>
      </c>
    </row>
    <row r="465" spans="1:12" x14ac:dyDescent="0.35">
      <c r="A465">
        <v>464</v>
      </c>
      <c r="B465" t="s">
        <v>13</v>
      </c>
      <c r="C465" t="s">
        <v>8</v>
      </c>
      <c r="D465" t="s">
        <v>15</v>
      </c>
      <c r="E465" t="str">
        <f>IF(logistics_classification_dataset__1[[#This Row],[Shipment_Type]]="Kara","Road",IF(logistics_classification_dataset__1[[#This Row],[Shipment_Type]]="Hava","Air",IF(logistics_classification_dataset__1[[#This Row],[Shipment_Type]]="Deniz","Sea")))</f>
        <v>Air</v>
      </c>
      <c r="F465">
        <v>103.6</v>
      </c>
      <c r="G465" t="str">
        <f t="shared" si="14"/>
        <v>0–500</v>
      </c>
      <c r="H465" s="1">
        <v>887.8</v>
      </c>
      <c r="I465" t="str">
        <f t="shared" si="15"/>
        <v>501–1000</v>
      </c>
      <c r="J465" t="s">
        <v>14</v>
      </c>
      <c r="K465" t="str">
        <f>IF(logistics_classification_dataset__1[[#This Row],[Customer_Segment]]="Bireysel","Individual",IF(logistics_classification_dataset__1[[#This Row],[Customer_Segment]]="Kurumsal","Corporate"))</f>
        <v>Corporate</v>
      </c>
      <c r="L465">
        <v>1</v>
      </c>
    </row>
    <row r="466" spans="1:12" x14ac:dyDescent="0.35">
      <c r="A466">
        <v>465</v>
      </c>
      <c r="B466" t="s">
        <v>17</v>
      </c>
      <c r="C466" t="s">
        <v>9</v>
      </c>
      <c r="D466" t="s">
        <v>10</v>
      </c>
      <c r="E466" t="str">
        <f>IF(logistics_classification_dataset__1[[#This Row],[Shipment_Type]]="Kara","Road",IF(logistics_classification_dataset__1[[#This Row],[Shipment_Type]]="Hava","Air",IF(logistics_classification_dataset__1[[#This Row],[Shipment_Type]]="Deniz","Sea")))</f>
        <v>Road</v>
      </c>
      <c r="F466">
        <v>1481.62</v>
      </c>
      <c r="G466" t="str">
        <f t="shared" si="14"/>
        <v>1001–1500</v>
      </c>
      <c r="H466" s="1">
        <v>593.9</v>
      </c>
      <c r="I466" t="str">
        <f t="shared" si="15"/>
        <v>501–1000</v>
      </c>
      <c r="J466" t="s">
        <v>11</v>
      </c>
      <c r="K466" t="str">
        <f>IF(logistics_classification_dataset__1[[#This Row],[Customer_Segment]]="Bireysel","Individual",IF(logistics_classification_dataset__1[[#This Row],[Customer_Segment]]="Kurumsal","Corporate"))</f>
        <v>Individual</v>
      </c>
      <c r="L466">
        <v>1</v>
      </c>
    </row>
    <row r="467" spans="1:12" x14ac:dyDescent="0.35">
      <c r="A467">
        <v>466</v>
      </c>
      <c r="B467" t="s">
        <v>17</v>
      </c>
      <c r="C467" t="s">
        <v>20</v>
      </c>
      <c r="D467" t="s">
        <v>10</v>
      </c>
      <c r="E467" t="str">
        <f>IF(logistics_classification_dataset__1[[#This Row],[Shipment_Type]]="Kara","Road",IF(logistics_classification_dataset__1[[#This Row],[Shipment_Type]]="Hava","Air",IF(logistics_classification_dataset__1[[#This Row],[Shipment_Type]]="Deniz","Sea")))</f>
        <v>Road</v>
      </c>
      <c r="F467">
        <v>1263.25</v>
      </c>
      <c r="G467" t="str">
        <f t="shared" si="14"/>
        <v>1001–1500</v>
      </c>
      <c r="H467" s="1">
        <v>301.89999999999998</v>
      </c>
      <c r="I467" t="str">
        <f t="shared" si="15"/>
        <v>0–500</v>
      </c>
      <c r="J467" t="s">
        <v>14</v>
      </c>
      <c r="K467" t="str">
        <f>IF(logistics_classification_dataset__1[[#This Row],[Customer_Segment]]="Bireysel","Individual",IF(logistics_classification_dataset__1[[#This Row],[Customer_Segment]]="Kurumsal","Corporate"))</f>
        <v>Corporate</v>
      </c>
      <c r="L467">
        <v>1</v>
      </c>
    </row>
    <row r="468" spans="1:12" x14ac:dyDescent="0.35">
      <c r="A468">
        <v>467</v>
      </c>
      <c r="B468" t="s">
        <v>17</v>
      </c>
      <c r="C468" t="s">
        <v>20</v>
      </c>
      <c r="D468" t="s">
        <v>15</v>
      </c>
      <c r="E468" t="str">
        <f>IF(logistics_classification_dataset__1[[#This Row],[Shipment_Type]]="Kara","Road",IF(logistics_classification_dataset__1[[#This Row],[Shipment_Type]]="Hava","Air",IF(logistics_classification_dataset__1[[#This Row],[Shipment_Type]]="Deniz","Sea")))</f>
        <v>Air</v>
      </c>
      <c r="F468">
        <v>1101.46</v>
      </c>
      <c r="G468" t="str">
        <f t="shared" si="14"/>
        <v>1001–1500</v>
      </c>
      <c r="H468" s="1">
        <v>244.1</v>
      </c>
      <c r="I468" t="str">
        <f t="shared" si="15"/>
        <v>0–500</v>
      </c>
      <c r="J468" t="s">
        <v>11</v>
      </c>
      <c r="K468" t="str">
        <f>IF(logistics_classification_dataset__1[[#This Row],[Customer_Segment]]="Bireysel","Individual",IF(logistics_classification_dataset__1[[#This Row],[Customer_Segment]]="Kurumsal","Corporate"))</f>
        <v>Individual</v>
      </c>
      <c r="L468">
        <v>1</v>
      </c>
    </row>
    <row r="469" spans="1:12" x14ac:dyDescent="0.35">
      <c r="A469">
        <v>468</v>
      </c>
      <c r="B469" t="s">
        <v>22</v>
      </c>
      <c r="C469" t="s">
        <v>16</v>
      </c>
      <c r="D469" t="s">
        <v>10</v>
      </c>
      <c r="E469" t="str">
        <f>IF(logistics_classification_dataset__1[[#This Row],[Shipment_Type]]="Kara","Road",IF(logistics_classification_dataset__1[[#This Row],[Shipment_Type]]="Hava","Air",IF(logistics_classification_dataset__1[[#This Row],[Shipment_Type]]="Deniz","Sea")))</f>
        <v>Road</v>
      </c>
      <c r="F469">
        <v>1381.11</v>
      </c>
      <c r="G469" t="str">
        <f t="shared" si="14"/>
        <v>1001–1500</v>
      </c>
      <c r="H469" s="1">
        <v>1226.2</v>
      </c>
      <c r="I469" t="str">
        <f t="shared" si="15"/>
        <v>1001–1500</v>
      </c>
      <c r="J469" t="s">
        <v>11</v>
      </c>
      <c r="K469" t="str">
        <f>IF(logistics_classification_dataset__1[[#This Row],[Customer_Segment]]="Bireysel","Individual",IF(logistics_classification_dataset__1[[#This Row],[Customer_Segment]]="Kurumsal","Corporate"))</f>
        <v>Individual</v>
      </c>
      <c r="L469">
        <v>1</v>
      </c>
    </row>
    <row r="470" spans="1:12" x14ac:dyDescent="0.35">
      <c r="A470">
        <v>469</v>
      </c>
      <c r="B470" t="s">
        <v>18</v>
      </c>
      <c r="C470" t="s">
        <v>17</v>
      </c>
      <c r="D470" t="s">
        <v>10</v>
      </c>
      <c r="E470" t="str">
        <f>IF(logistics_classification_dataset__1[[#This Row],[Shipment_Type]]="Kara","Road",IF(logistics_classification_dataset__1[[#This Row],[Shipment_Type]]="Hava","Air",IF(logistics_classification_dataset__1[[#This Row],[Shipment_Type]]="Deniz","Sea")))</f>
        <v>Road</v>
      </c>
      <c r="F470">
        <v>292.16000000000003</v>
      </c>
      <c r="G470" t="str">
        <f t="shared" si="14"/>
        <v>0–500</v>
      </c>
      <c r="H470" s="1">
        <v>1071</v>
      </c>
      <c r="I470" t="str">
        <f t="shared" si="15"/>
        <v>1001–1500</v>
      </c>
      <c r="J470" t="s">
        <v>14</v>
      </c>
      <c r="K470" t="str">
        <f>IF(logistics_classification_dataset__1[[#This Row],[Customer_Segment]]="Bireysel","Individual",IF(logistics_classification_dataset__1[[#This Row],[Customer_Segment]]="Kurumsal","Corporate"))</f>
        <v>Corporate</v>
      </c>
      <c r="L470">
        <v>1</v>
      </c>
    </row>
    <row r="471" spans="1:12" x14ac:dyDescent="0.35">
      <c r="A471">
        <v>470</v>
      </c>
      <c r="B471" t="s">
        <v>20</v>
      </c>
      <c r="C471" t="s">
        <v>12</v>
      </c>
      <c r="D471" t="s">
        <v>15</v>
      </c>
      <c r="E471" t="str">
        <f>IF(logistics_classification_dataset__1[[#This Row],[Shipment_Type]]="Kara","Road",IF(logistics_classification_dataset__1[[#This Row],[Shipment_Type]]="Hava","Air",IF(logistics_classification_dataset__1[[#This Row],[Shipment_Type]]="Deniz","Sea")))</f>
        <v>Air</v>
      </c>
      <c r="F471">
        <v>1192.74</v>
      </c>
      <c r="G471" t="str">
        <f t="shared" si="14"/>
        <v>1001–1500</v>
      </c>
      <c r="H471" s="1">
        <v>544.5</v>
      </c>
      <c r="I471" t="str">
        <f t="shared" si="15"/>
        <v>501–1000</v>
      </c>
      <c r="J471" t="s">
        <v>14</v>
      </c>
      <c r="K471" t="str">
        <f>IF(logistics_classification_dataset__1[[#This Row],[Customer_Segment]]="Bireysel","Individual",IF(logistics_classification_dataset__1[[#This Row],[Customer_Segment]]="Kurumsal","Corporate"))</f>
        <v>Corporate</v>
      </c>
      <c r="L471">
        <v>1</v>
      </c>
    </row>
    <row r="472" spans="1:12" x14ac:dyDescent="0.35">
      <c r="A472">
        <v>471</v>
      </c>
      <c r="B472" t="s">
        <v>8</v>
      </c>
      <c r="C472" t="s">
        <v>21</v>
      </c>
      <c r="D472" t="s">
        <v>10</v>
      </c>
      <c r="E472" t="str">
        <f>IF(logistics_classification_dataset__1[[#This Row],[Shipment_Type]]="Kara","Road",IF(logistics_classification_dataset__1[[#This Row],[Shipment_Type]]="Hava","Air",IF(logistics_classification_dataset__1[[#This Row],[Shipment_Type]]="Deniz","Sea")))</f>
        <v>Road</v>
      </c>
      <c r="F472">
        <v>348.36</v>
      </c>
      <c r="G472" t="str">
        <f t="shared" si="14"/>
        <v>0–500</v>
      </c>
      <c r="H472" s="1">
        <v>968.4</v>
      </c>
      <c r="I472" t="str">
        <f t="shared" si="15"/>
        <v>501–1000</v>
      </c>
      <c r="J472" t="s">
        <v>14</v>
      </c>
      <c r="K472" t="str">
        <f>IF(logistics_classification_dataset__1[[#This Row],[Customer_Segment]]="Bireysel","Individual",IF(logistics_classification_dataset__1[[#This Row],[Customer_Segment]]="Kurumsal","Corporate"))</f>
        <v>Corporate</v>
      </c>
      <c r="L472">
        <v>1</v>
      </c>
    </row>
    <row r="473" spans="1:12" x14ac:dyDescent="0.35">
      <c r="A473">
        <v>472</v>
      </c>
      <c r="B473" t="s">
        <v>12</v>
      </c>
      <c r="C473" t="s">
        <v>8</v>
      </c>
      <c r="D473" t="s">
        <v>15</v>
      </c>
      <c r="E473" t="str">
        <f>IF(logistics_classification_dataset__1[[#This Row],[Shipment_Type]]="Kara","Road",IF(logistics_classification_dataset__1[[#This Row],[Shipment_Type]]="Hava","Air",IF(logistics_classification_dataset__1[[#This Row],[Shipment_Type]]="Deniz","Sea")))</f>
        <v>Air</v>
      </c>
      <c r="F473">
        <v>1851.42</v>
      </c>
      <c r="G473" t="str">
        <f t="shared" si="14"/>
        <v>1501–2000</v>
      </c>
      <c r="H473" s="1">
        <v>1009.9</v>
      </c>
      <c r="I473" t="str">
        <f t="shared" si="15"/>
        <v>1001–1500</v>
      </c>
      <c r="J473" t="s">
        <v>11</v>
      </c>
      <c r="K473" t="str">
        <f>IF(logistics_classification_dataset__1[[#This Row],[Customer_Segment]]="Bireysel","Individual",IF(logistics_classification_dataset__1[[#This Row],[Customer_Segment]]="Kurumsal","Corporate"))</f>
        <v>Individual</v>
      </c>
      <c r="L473">
        <v>1</v>
      </c>
    </row>
    <row r="474" spans="1:12" x14ac:dyDescent="0.35">
      <c r="A474">
        <v>473</v>
      </c>
      <c r="B474" t="s">
        <v>17</v>
      </c>
      <c r="C474" t="s">
        <v>16</v>
      </c>
      <c r="D474" t="s">
        <v>10</v>
      </c>
      <c r="E474" t="str">
        <f>IF(logistics_classification_dataset__1[[#This Row],[Shipment_Type]]="Kara","Road",IF(logistics_classification_dataset__1[[#This Row],[Shipment_Type]]="Hava","Air",IF(logistics_classification_dataset__1[[#This Row],[Shipment_Type]]="Deniz","Sea")))</f>
        <v>Road</v>
      </c>
      <c r="F474">
        <v>141.33000000000001</v>
      </c>
      <c r="G474" t="str">
        <f t="shared" si="14"/>
        <v>0–500</v>
      </c>
      <c r="H474" s="1">
        <v>430.3</v>
      </c>
      <c r="I474" t="str">
        <f t="shared" si="15"/>
        <v>0–500</v>
      </c>
      <c r="J474" t="s">
        <v>11</v>
      </c>
      <c r="K474" t="str">
        <f>IF(logistics_classification_dataset__1[[#This Row],[Customer_Segment]]="Bireysel","Individual",IF(logistics_classification_dataset__1[[#This Row],[Customer_Segment]]="Kurumsal","Corporate"))</f>
        <v>Individual</v>
      </c>
      <c r="L474">
        <v>1</v>
      </c>
    </row>
    <row r="475" spans="1:12" x14ac:dyDescent="0.35">
      <c r="A475">
        <v>474</v>
      </c>
      <c r="B475" t="s">
        <v>16</v>
      </c>
      <c r="C475" t="s">
        <v>17</v>
      </c>
      <c r="D475" t="s">
        <v>15</v>
      </c>
      <c r="E475" t="str">
        <f>IF(logistics_classification_dataset__1[[#This Row],[Shipment_Type]]="Kara","Road",IF(logistics_classification_dataset__1[[#This Row],[Shipment_Type]]="Hava","Air",IF(logistics_classification_dataset__1[[#This Row],[Shipment_Type]]="Deniz","Sea")))</f>
        <v>Air</v>
      </c>
      <c r="F475">
        <v>86.36</v>
      </c>
      <c r="G475" t="str">
        <f t="shared" si="14"/>
        <v>0–500</v>
      </c>
      <c r="H475" s="1">
        <v>1321.6</v>
      </c>
      <c r="I475" t="str">
        <f t="shared" si="15"/>
        <v>1001–1500</v>
      </c>
      <c r="J475" t="s">
        <v>14</v>
      </c>
      <c r="K475" t="str">
        <f>IF(logistics_classification_dataset__1[[#This Row],[Customer_Segment]]="Bireysel","Individual",IF(logistics_classification_dataset__1[[#This Row],[Customer_Segment]]="Kurumsal","Corporate"))</f>
        <v>Corporate</v>
      </c>
      <c r="L475">
        <v>1</v>
      </c>
    </row>
    <row r="476" spans="1:12" x14ac:dyDescent="0.35">
      <c r="A476">
        <v>475</v>
      </c>
      <c r="B476" t="s">
        <v>22</v>
      </c>
      <c r="C476" t="s">
        <v>20</v>
      </c>
      <c r="D476" t="s">
        <v>10</v>
      </c>
      <c r="E476" t="str">
        <f>IF(logistics_classification_dataset__1[[#This Row],[Shipment_Type]]="Kara","Road",IF(logistics_classification_dataset__1[[#This Row],[Shipment_Type]]="Hava","Air",IF(logistics_classification_dataset__1[[#This Row],[Shipment_Type]]="Deniz","Sea")))</f>
        <v>Road</v>
      </c>
      <c r="F476">
        <v>1393.12</v>
      </c>
      <c r="G476" t="str">
        <f t="shared" si="14"/>
        <v>1001–1500</v>
      </c>
      <c r="H476" s="1">
        <v>1572.8</v>
      </c>
      <c r="I476" t="str">
        <f t="shared" si="15"/>
        <v>1501–2000</v>
      </c>
      <c r="J476" t="s">
        <v>11</v>
      </c>
      <c r="K476" t="str">
        <f>IF(logistics_classification_dataset__1[[#This Row],[Customer_Segment]]="Bireysel","Individual",IF(logistics_classification_dataset__1[[#This Row],[Customer_Segment]]="Kurumsal","Corporate"))</f>
        <v>Individual</v>
      </c>
      <c r="L476">
        <v>0</v>
      </c>
    </row>
    <row r="477" spans="1:12" x14ac:dyDescent="0.35">
      <c r="A477">
        <v>476</v>
      </c>
      <c r="B477" t="s">
        <v>13</v>
      </c>
      <c r="C477" t="s">
        <v>18</v>
      </c>
      <c r="D477" t="s">
        <v>10</v>
      </c>
      <c r="E477" t="str">
        <f>IF(logistics_classification_dataset__1[[#This Row],[Shipment_Type]]="Kara","Road",IF(logistics_classification_dataset__1[[#This Row],[Shipment_Type]]="Hava","Air",IF(logistics_classification_dataset__1[[#This Row],[Shipment_Type]]="Deniz","Sea")))</f>
        <v>Road</v>
      </c>
      <c r="F477">
        <v>918.75</v>
      </c>
      <c r="G477" t="str">
        <f t="shared" si="14"/>
        <v>501–1000</v>
      </c>
      <c r="H477" s="1">
        <v>1593.4</v>
      </c>
      <c r="I477" t="str">
        <f t="shared" si="15"/>
        <v>1501–2000</v>
      </c>
      <c r="J477" t="s">
        <v>11</v>
      </c>
      <c r="K477" t="str">
        <f>IF(logistics_classification_dataset__1[[#This Row],[Customer_Segment]]="Bireysel","Individual",IF(logistics_classification_dataset__1[[#This Row],[Customer_Segment]]="Kurumsal","Corporate"))</f>
        <v>Individual</v>
      </c>
      <c r="L477">
        <v>1</v>
      </c>
    </row>
    <row r="478" spans="1:12" x14ac:dyDescent="0.35">
      <c r="A478">
        <v>477</v>
      </c>
      <c r="B478" t="s">
        <v>12</v>
      </c>
      <c r="C478" t="s">
        <v>8</v>
      </c>
      <c r="D478" t="s">
        <v>19</v>
      </c>
      <c r="E478" t="str">
        <f>IF(logistics_classification_dataset__1[[#This Row],[Shipment_Type]]="Kara","Road",IF(logistics_classification_dataset__1[[#This Row],[Shipment_Type]]="Hava","Air",IF(logistics_classification_dataset__1[[#This Row],[Shipment_Type]]="Deniz","Sea")))</f>
        <v>Sea</v>
      </c>
      <c r="F478">
        <v>188.73</v>
      </c>
      <c r="G478" t="str">
        <f t="shared" si="14"/>
        <v>0–500</v>
      </c>
      <c r="H478" s="1">
        <v>1224.8</v>
      </c>
      <c r="I478" t="str">
        <f t="shared" si="15"/>
        <v>1001–1500</v>
      </c>
      <c r="J478" t="s">
        <v>14</v>
      </c>
      <c r="K478" t="str">
        <f>IF(logistics_classification_dataset__1[[#This Row],[Customer_Segment]]="Bireysel","Individual",IF(logistics_classification_dataset__1[[#This Row],[Customer_Segment]]="Kurumsal","Corporate"))</f>
        <v>Corporate</v>
      </c>
      <c r="L478">
        <v>0</v>
      </c>
    </row>
    <row r="479" spans="1:12" x14ac:dyDescent="0.35">
      <c r="A479">
        <v>478</v>
      </c>
      <c r="B479" t="s">
        <v>20</v>
      </c>
      <c r="C479" t="s">
        <v>17</v>
      </c>
      <c r="D479" t="s">
        <v>15</v>
      </c>
      <c r="E479" t="str">
        <f>IF(logistics_classification_dataset__1[[#This Row],[Shipment_Type]]="Kara","Road",IF(logistics_classification_dataset__1[[#This Row],[Shipment_Type]]="Hava","Air",IF(logistics_classification_dataset__1[[#This Row],[Shipment_Type]]="Deniz","Sea")))</f>
        <v>Air</v>
      </c>
      <c r="F479">
        <v>1108.99</v>
      </c>
      <c r="G479" t="str">
        <f t="shared" si="14"/>
        <v>1001–1500</v>
      </c>
      <c r="H479" s="1">
        <v>1047.7</v>
      </c>
      <c r="I479" t="str">
        <f t="shared" si="15"/>
        <v>1001–1500</v>
      </c>
      <c r="J479" t="s">
        <v>14</v>
      </c>
      <c r="K479" t="str">
        <f>IF(logistics_classification_dataset__1[[#This Row],[Customer_Segment]]="Bireysel","Individual",IF(logistics_classification_dataset__1[[#This Row],[Customer_Segment]]="Kurumsal","Corporate"))</f>
        <v>Corporate</v>
      </c>
      <c r="L479">
        <v>0</v>
      </c>
    </row>
    <row r="480" spans="1:12" x14ac:dyDescent="0.35">
      <c r="A480">
        <v>479</v>
      </c>
      <c r="B480" t="s">
        <v>16</v>
      </c>
      <c r="C480" t="s">
        <v>17</v>
      </c>
      <c r="D480" t="s">
        <v>10</v>
      </c>
      <c r="E480" t="str">
        <f>IF(logistics_classification_dataset__1[[#This Row],[Shipment_Type]]="Kara","Road",IF(logistics_classification_dataset__1[[#This Row],[Shipment_Type]]="Hava","Air",IF(logistics_classification_dataset__1[[#This Row],[Shipment_Type]]="Deniz","Sea")))</f>
        <v>Road</v>
      </c>
      <c r="F480">
        <v>1285.06</v>
      </c>
      <c r="G480" t="str">
        <f t="shared" si="14"/>
        <v>1001–1500</v>
      </c>
      <c r="H480" s="1">
        <v>169</v>
      </c>
      <c r="I480" t="str">
        <f t="shared" si="15"/>
        <v>0–500</v>
      </c>
      <c r="J480" t="s">
        <v>14</v>
      </c>
      <c r="K480" t="str">
        <f>IF(logistics_classification_dataset__1[[#This Row],[Customer_Segment]]="Bireysel","Individual",IF(logistics_classification_dataset__1[[#This Row],[Customer_Segment]]="Kurumsal","Corporate"))</f>
        <v>Corporate</v>
      </c>
      <c r="L480">
        <v>1</v>
      </c>
    </row>
    <row r="481" spans="1:12" x14ac:dyDescent="0.35">
      <c r="A481">
        <v>480</v>
      </c>
      <c r="B481" t="s">
        <v>20</v>
      </c>
      <c r="C481" t="s">
        <v>16</v>
      </c>
      <c r="D481" t="s">
        <v>10</v>
      </c>
      <c r="E481" t="str">
        <f>IF(logistics_classification_dataset__1[[#This Row],[Shipment_Type]]="Kara","Road",IF(logistics_classification_dataset__1[[#This Row],[Shipment_Type]]="Hava","Air",IF(logistics_classification_dataset__1[[#This Row],[Shipment_Type]]="Deniz","Sea")))</f>
        <v>Road</v>
      </c>
      <c r="F481">
        <v>1409.07</v>
      </c>
      <c r="G481" t="str">
        <f t="shared" si="14"/>
        <v>1001–1500</v>
      </c>
      <c r="H481" s="1">
        <v>611.29999999999995</v>
      </c>
      <c r="I481" t="str">
        <f t="shared" si="15"/>
        <v>501–1000</v>
      </c>
      <c r="J481" t="s">
        <v>11</v>
      </c>
      <c r="K481" t="str">
        <f>IF(logistics_classification_dataset__1[[#This Row],[Customer_Segment]]="Bireysel","Individual",IF(logistics_classification_dataset__1[[#This Row],[Customer_Segment]]="Kurumsal","Corporate"))</f>
        <v>Individual</v>
      </c>
      <c r="L481">
        <v>1</v>
      </c>
    </row>
    <row r="482" spans="1:12" x14ac:dyDescent="0.35">
      <c r="A482">
        <v>481</v>
      </c>
      <c r="B482" t="s">
        <v>12</v>
      </c>
      <c r="C482" t="s">
        <v>8</v>
      </c>
      <c r="D482" t="s">
        <v>15</v>
      </c>
      <c r="E482" t="str">
        <f>IF(logistics_classification_dataset__1[[#This Row],[Shipment_Type]]="Kara","Road",IF(logistics_classification_dataset__1[[#This Row],[Shipment_Type]]="Hava","Air",IF(logistics_classification_dataset__1[[#This Row],[Shipment_Type]]="Deniz","Sea")))</f>
        <v>Air</v>
      </c>
      <c r="F482">
        <v>749.65</v>
      </c>
      <c r="G482" t="str">
        <f t="shared" si="14"/>
        <v>501–1000</v>
      </c>
      <c r="H482" s="1">
        <v>231.9</v>
      </c>
      <c r="I482" t="str">
        <f t="shared" si="15"/>
        <v>0–500</v>
      </c>
      <c r="J482" t="s">
        <v>14</v>
      </c>
      <c r="K482" t="str">
        <f>IF(logistics_classification_dataset__1[[#This Row],[Customer_Segment]]="Bireysel","Individual",IF(logistics_classification_dataset__1[[#This Row],[Customer_Segment]]="Kurumsal","Corporate"))</f>
        <v>Corporate</v>
      </c>
      <c r="L482">
        <v>1</v>
      </c>
    </row>
    <row r="483" spans="1:12" x14ac:dyDescent="0.35">
      <c r="A483">
        <v>482</v>
      </c>
      <c r="B483" t="s">
        <v>17</v>
      </c>
      <c r="C483" t="s">
        <v>22</v>
      </c>
      <c r="D483" t="s">
        <v>10</v>
      </c>
      <c r="E483" t="str">
        <f>IF(logistics_classification_dataset__1[[#This Row],[Shipment_Type]]="Kara","Road",IF(logistics_classification_dataset__1[[#This Row],[Shipment_Type]]="Hava","Air",IF(logistics_classification_dataset__1[[#This Row],[Shipment_Type]]="Deniz","Sea")))</f>
        <v>Road</v>
      </c>
      <c r="F483">
        <v>112.95</v>
      </c>
      <c r="G483" t="str">
        <f t="shared" si="14"/>
        <v>0–500</v>
      </c>
      <c r="H483" s="1">
        <v>1929.5</v>
      </c>
      <c r="I483" t="str">
        <f t="shared" si="15"/>
        <v>1501–2000</v>
      </c>
      <c r="J483" t="s">
        <v>11</v>
      </c>
      <c r="K483" t="str">
        <f>IF(logistics_classification_dataset__1[[#This Row],[Customer_Segment]]="Bireysel","Individual",IF(logistics_classification_dataset__1[[#This Row],[Customer_Segment]]="Kurumsal","Corporate"))</f>
        <v>Individual</v>
      </c>
      <c r="L483">
        <v>0</v>
      </c>
    </row>
    <row r="484" spans="1:12" x14ac:dyDescent="0.35">
      <c r="A484">
        <v>483</v>
      </c>
      <c r="B484" t="s">
        <v>16</v>
      </c>
      <c r="C484" t="s">
        <v>12</v>
      </c>
      <c r="D484" t="s">
        <v>15</v>
      </c>
      <c r="E484" t="str">
        <f>IF(logistics_classification_dataset__1[[#This Row],[Shipment_Type]]="Kara","Road",IF(logistics_classification_dataset__1[[#This Row],[Shipment_Type]]="Hava","Air",IF(logistics_classification_dataset__1[[#This Row],[Shipment_Type]]="Deniz","Sea")))</f>
        <v>Air</v>
      </c>
      <c r="F484">
        <v>904.12</v>
      </c>
      <c r="G484" t="str">
        <f t="shared" si="14"/>
        <v>501–1000</v>
      </c>
      <c r="H484" s="1">
        <v>313.39999999999998</v>
      </c>
      <c r="I484" t="str">
        <f t="shared" si="15"/>
        <v>0–500</v>
      </c>
      <c r="J484" t="s">
        <v>11</v>
      </c>
      <c r="K484" t="str">
        <f>IF(logistics_classification_dataset__1[[#This Row],[Customer_Segment]]="Bireysel","Individual",IF(logistics_classification_dataset__1[[#This Row],[Customer_Segment]]="Kurumsal","Corporate"))</f>
        <v>Individual</v>
      </c>
      <c r="L484">
        <v>1</v>
      </c>
    </row>
    <row r="485" spans="1:12" x14ac:dyDescent="0.35">
      <c r="A485">
        <v>484</v>
      </c>
      <c r="B485" t="s">
        <v>20</v>
      </c>
      <c r="C485" t="s">
        <v>22</v>
      </c>
      <c r="D485" t="s">
        <v>15</v>
      </c>
      <c r="E485" t="str">
        <f>IF(logistics_classification_dataset__1[[#This Row],[Shipment_Type]]="Kara","Road",IF(logistics_classification_dataset__1[[#This Row],[Shipment_Type]]="Hava","Air",IF(logistics_classification_dataset__1[[#This Row],[Shipment_Type]]="Deniz","Sea")))</f>
        <v>Air</v>
      </c>
      <c r="F485">
        <v>1345.75</v>
      </c>
      <c r="G485" t="str">
        <f t="shared" si="14"/>
        <v>1001–1500</v>
      </c>
      <c r="H485" s="1">
        <v>346</v>
      </c>
      <c r="I485" t="str">
        <f t="shared" si="15"/>
        <v>0–500</v>
      </c>
      <c r="J485" t="s">
        <v>11</v>
      </c>
      <c r="K485" t="str">
        <f>IF(logistics_classification_dataset__1[[#This Row],[Customer_Segment]]="Bireysel","Individual",IF(logistics_classification_dataset__1[[#This Row],[Customer_Segment]]="Kurumsal","Corporate"))</f>
        <v>Individual</v>
      </c>
      <c r="L485">
        <v>1</v>
      </c>
    </row>
    <row r="486" spans="1:12" x14ac:dyDescent="0.35">
      <c r="A486">
        <v>485</v>
      </c>
      <c r="B486" t="s">
        <v>13</v>
      </c>
      <c r="C486" t="s">
        <v>8</v>
      </c>
      <c r="D486" t="s">
        <v>10</v>
      </c>
      <c r="E486" t="str">
        <f>IF(logistics_classification_dataset__1[[#This Row],[Shipment_Type]]="Kara","Road",IF(logistics_classification_dataset__1[[#This Row],[Shipment_Type]]="Hava","Air",IF(logistics_classification_dataset__1[[#This Row],[Shipment_Type]]="Deniz","Sea")))</f>
        <v>Road</v>
      </c>
      <c r="F486">
        <v>116.92</v>
      </c>
      <c r="G486" t="str">
        <f t="shared" si="14"/>
        <v>0–500</v>
      </c>
      <c r="H486" s="1">
        <v>1784.7</v>
      </c>
      <c r="I486" t="str">
        <f t="shared" si="15"/>
        <v>1501–2000</v>
      </c>
      <c r="J486" t="s">
        <v>11</v>
      </c>
      <c r="K486" t="str">
        <f>IF(logistics_classification_dataset__1[[#This Row],[Customer_Segment]]="Bireysel","Individual",IF(logistics_classification_dataset__1[[#This Row],[Customer_Segment]]="Kurumsal","Corporate"))</f>
        <v>Individual</v>
      </c>
      <c r="L486">
        <v>1</v>
      </c>
    </row>
    <row r="487" spans="1:12" x14ac:dyDescent="0.35">
      <c r="A487">
        <v>486</v>
      </c>
      <c r="B487" t="s">
        <v>18</v>
      </c>
      <c r="C487" t="s">
        <v>22</v>
      </c>
      <c r="D487" t="s">
        <v>10</v>
      </c>
      <c r="E487" t="str">
        <f>IF(logistics_classification_dataset__1[[#This Row],[Shipment_Type]]="Kara","Road",IF(logistics_classification_dataset__1[[#This Row],[Shipment_Type]]="Hava","Air",IF(logistics_classification_dataset__1[[#This Row],[Shipment_Type]]="Deniz","Sea")))</f>
        <v>Road</v>
      </c>
      <c r="F487">
        <v>1053.8800000000001</v>
      </c>
      <c r="G487" t="str">
        <f t="shared" si="14"/>
        <v>1001–1500</v>
      </c>
      <c r="H487" s="1">
        <v>1890.7</v>
      </c>
      <c r="I487" t="str">
        <f t="shared" si="15"/>
        <v>1501–2000</v>
      </c>
      <c r="J487" t="s">
        <v>11</v>
      </c>
      <c r="K487" t="str">
        <f>IF(logistics_classification_dataset__1[[#This Row],[Customer_Segment]]="Bireysel","Individual",IF(logistics_classification_dataset__1[[#This Row],[Customer_Segment]]="Kurumsal","Corporate"))</f>
        <v>Individual</v>
      </c>
      <c r="L487">
        <v>1</v>
      </c>
    </row>
    <row r="488" spans="1:12" x14ac:dyDescent="0.35">
      <c r="A488">
        <v>487</v>
      </c>
      <c r="B488" t="s">
        <v>9</v>
      </c>
      <c r="C488" t="s">
        <v>12</v>
      </c>
      <c r="D488" t="s">
        <v>15</v>
      </c>
      <c r="E488" t="str">
        <f>IF(logistics_classification_dataset__1[[#This Row],[Shipment_Type]]="Kara","Road",IF(logistics_classification_dataset__1[[#This Row],[Shipment_Type]]="Hava","Air",IF(logistics_classification_dataset__1[[#This Row],[Shipment_Type]]="Deniz","Sea")))</f>
        <v>Air</v>
      </c>
      <c r="F488">
        <v>50.28</v>
      </c>
      <c r="G488" t="str">
        <f t="shared" si="14"/>
        <v>0–500</v>
      </c>
      <c r="H488" s="1">
        <v>1543.4</v>
      </c>
      <c r="I488" t="str">
        <f t="shared" si="15"/>
        <v>1501–2000</v>
      </c>
      <c r="J488" t="s">
        <v>11</v>
      </c>
      <c r="K488" t="str">
        <f>IF(logistics_classification_dataset__1[[#This Row],[Customer_Segment]]="Bireysel","Individual",IF(logistics_classification_dataset__1[[#This Row],[Customer_Segment]]="Kurumsal","Corporate"))</f>
        <v>Individual</v>
      </c>
      <c r="L488">
        <v>1</v>
      </c>
    </row>
    <row r="489" spans="1:12" x14ac:dyDescent="0.35">
      <c r="A489">
        <v>488</v>
      </c>
      <c r="B489" t="s">
        <v>18</v>
      </c>
      <c r="C489" t="s">
        <v>20</v>
      </c>
      <c r="D489" t="s">
        <v>10</v>
      </c>
      <c r="E489" t="str">
        <f>IF(logistics_classification_dataset__1[[#This Row],[Shipment_Type]]="Kara","Road",IF(logistics_classification_dataset__1[[#This Row],[Shipment_Type]]="Hava","Air",IF(logistics_classification_dataset__1[[#This Row],[Shipment_Type]]="Deniz","Sea")))</f>
        <v>Road</v>
      </c>
      <c r="F489">
        <v>9.0299999999999994</v>
      </c>
      <c r="G489" t="str">
        <f t="shared" si="14"/>
        <v>0–500</v>
      </c>
      <c r="H489" s="1">
        <v>60.5</v>
      </c>
      <c r="I489" t="str">
        <f t="shared" si="15"/>
        <v>0–500</v>
      </c>
      <c r="J489" t="s">
        <v>11</v>
      </c>
      <c r="K489" t="str">
        <f>IF(logistics_classification_dataset__1[[#This Row],[Customer_Segment]]="Bireysel","Individual",IF(logistics_classification_dataset__1[[#This Row],[Customer_Segment]]="Kurumsal","Corporate"))</f>
        <v>Individual</v>
      </c>
      <c r="L489">
        <v>1</v>
      </c>
    </row>
    <row r="490" spans="1:12" x14ac:dyDescent="0.35">
      <c r="A490">
        <v>489</v>
      </c>
      <c r="B490" t="s">
        <v>12</v>
      </c>
      <c r="C490" t="s">
        <v>9</v>
      </c>
      <c r="D490" t="s">
        <v>10</v>
      </c>
      <c r="E490" t="str">
        <f>IF(logistics_classification_dataset__1[[#This Row],[Shipment_Type]]="Kara","Road",IF(logistics_classification_dataset__1[[#This Row],[Shipment_Type]]="Hava","Air",IF(logistics_classification_dataset__1[[#This Row],[Shipment_Type]]="Deniz","Sea")))</f>
        <v>Road</v>
      </c>
      <c r="F490">
        <v>352.29</v>
      </c>
      <c r="G490" t="str">
        <f t="shared" si="14"/>
        <v>0–500</v>
      </c>
      <c r="H490" s="1">
        <v>52.6</v>
      </c>
      <c r="I490" t="str">
        <f t="shared" si="15"/>
        <v>0–500</v>
      </c>
      <c r="J490" t="s">
        <v>11</v>
      </c>
      <c r="K490" t="str">
        <f>IF(logistics_classification_dataset__1[[#This Row],[Customer_Segment]]="Bireysel","Individual",IF(logistics_classification_dataset__1[[#This Row],[Customer_Segment]]="Kurumsal","Corporate"))</f>
        <v>Individual</v>
      </c>
      <c r="L490">
        <v>1</v>
      </c>
    </row>
    <row r="491" spans="1:12" x14ac:dyDescent="0.35">
      <c r="A491">
        <v>490</v>
      </c>
      <c r="B491" t="s">
        <v>22</v>
      </c>
      <c r="C491" t="s">
        <v>13</v>
      </c>
      <c r="D491" t="s">
        <v>19</v>
      </c>
      <c r="E491" t="str">
        <f>IF(logistics_classification_dataset__1[[#This Row],[Shipment_Type]]="Kara","Road",IF(logistics_classification_dataset__1[[#This Row],[Shipment_Type]]="Hava","Air",IF(logistics_classification_dataset__1[[#This Row],[Shipment_Type]]="Deniz","Sea")))</f>
        <v>Sea</v>
      </c>
      <c r="F491">
        <v>238.55</v>
      </c>
      <c r="G491" t="str">
        <f t="shared" si="14"/>
        <v>0–500</v>
      </c>
      <c r="H491" s="1">
        <v>787.3</v>
      </c>
      <c r="I491" t="str">
        <f t="shared" si="15"/>
        <v>501–1000</v>
      </c>
      <c r="J491" t="s">
        <v>11</v>
      </c>
      <c r="K491" t="str">
        <f>IF(logistics_classification_dataset__1[[#This Row],[Customer_Segment]]="Bireysel","Individual",IF(logistics_classification_dataset__1[[#This Row],[Customer_Segment]]="Kurumsal","Corporate"))</f>
        <v>Individual</v>
      </c>
      <c r="L491">
        <v>0</v>
      </c>
    </row>
    <row r="492" spans="1:12" x14ac:dyDescent="0.35">
      <c r="A492">
        <v>491</v>
      </c>
      <c r="B492" t="s">
        <v>9</v>
      </c>
      <c r="C492" t="s">
        <v>22</v>
      </c>
      <c r="D492" t="s">
        <v>10</v>
      </c>
      <c r="E492" t="str">
        <f>IF(logistics_classification_dataset__1[[#This Row],[Shipment_Type]]="Kara","Road",IF(logistics_classification_dataset__1[[#This Row],[Shipment_Type]]="Hava","Air",IF(logistics_classification_dataset__1[[#This Row],[Shipment_Type]]="Deniz","Sea")))</f>
        <v>Road</v>
      </c>
      <c r="F492">
        <v>900.92</v>
      </c>
      <c r="G492" t="str">
        <f t="shared" si="14"/>
        <v>501–1000</v>
      </c>
      <c r="H492" s="1">
        <v>329.6</v>
      </c>
      <c r="I492" t="str">
        <f t="shared" si="15"/>
        <v>0–500</v>
      </c>
      <c r="J492" t="s">
        <v>11</v>
      </c>
      <c r="K492" t="str">
        <f>IF(logistics_classification_dataset__1[[#This Row],[Customer_Segment]]="Bireysel","Individual",IF(logistics_classification_dataset__1[[#This Row],[Customer_Segment]]="Kurumsal","Corporate"))</f>
        <v>Individual</v>
      </c>
      <c r="L492">
        <v>1</v>
      </c>
    </row>
    <row r="493" spans="1:12" x14ac:dyDescent="0.35">
      <c r="A493">
        <v>492</v>
      </c>
      <c r="B493" t="s">
        <v>8</v>
      </c>
      <c r="C493" t="s">
        <v>13</v>
      </c>
      <c r="D493" t="s">
        <v>15</v>
      </c>
      <c r="E493" t="str">
        <f>IF(logistics_classification_dataset__1[[#This Row],[Shipment_Type]]="Kara","Road",IF(logistics_classification_dataset__1[[#This Row],[Shipment_Type]]="Hava","Air",IF(logistics_classification_dataset__1[[#This Row],[Shipment_Type]]="Deniz","Sea")))</f>
        <v>Air</v>
      </c>
      <c r="F493">
        <v>1226.46</v>
      </c>
      <c r="G493" t="str">
        <f t="shared" si="14"/>
        <v>1001–1500</v>
      </c>
      <c r="H493" s="1">
        <v>85.9</v>
      </c>
      <c r="I493" t="str">
        <f t="shared" si="15"/>
        <v>0–500</v>
      </c>
      <c r="J493" t="s">
        <v>11</v>
      </c>
      <c r="K493" t="str">
        <f>IF(logistics_classification_dataset__1[[#This Row],[Customer_Segment]]="Bireysel","Individual",IF(logistics_classification_dataset__1[[#This Row],[Customer_Segment]]="Kurumsal","Corporate"))</f>
        <v>Individual</v>
      </c>
      <c r="L493">
        <v>1</v>
      </c>
    </row>
    <row r="494" spans="1:12" x14ac:dyDescent="0.35">
      <c r="A494">
        <v>493</v>
      </c>
      <c r="B494" t="s">
        <v>13</v>
      </c>
      <c r="C494" t="s">
        <v>18</v>
      </c>
      <c r="D494" t="s">
        <v>10</v>
      </c>
      <c r="E494" t="str">
        <f>IF(logistics_classification_dataset__1[[#This Row],[Shipment_Type]]="Kara","Road",IF(logistics_classification_dataset__1[[#This Row],[Shipment_Type]]="Hava","Air",IF(logistics_classification_dataset__1[[#This Row],[Shipment_Type]]="Deniz","Sea")))</f>
        <v>Road</v>
      </c>
      <c r="F494">
        <v>43.01</v>
      </c>
      <c r="G494" t="str">
        <f t="shared" si="14"/>
        <v>0–500</v>
      </c>
      <c r="H494" s="1">
        <v>954.9</v>
      </c>
      <c r="I494" t="str">
        <f t="shared" si="15"/>
        <v>501–1000</v>
      </c>
      <c r="J494" t="s">
        <v>14</v>
      </c>
      <c r="K494" t="str">
        <f>IF(logistics_classification_dataset__1[[#This Row],[Customer_Segment]]="Bireysel","Individual",IF(logistics_classification_dataset__1[[#This Row],[Customer_Segment]]="Kurumsal","Corporate"))</f>
        <v>Corporate</v>
      </c>
      <c r="L494">
        <v>1</v>
      </c>
    </row>
    <row r="495" spans="1:12" x14ac:dyDescent="0.35">
      <c r="A495">
        <v>494</v>
      </c>
      <c r="B495" t="s">
        <v>8</v>
      </c>
      <c r="C495" t="s">
        <v>21</v>
      </c>
      <c r="D495" t="s">
        <v>10</v>
      </c>
      <c r="E495" t="str">
        <f>IF(logistics_classification_dataset__1[[#This Row],[Shipment_Type]]="Kara","Road",IF(logistics_classification_dataset__1[[#This Row],[Shipment_Type]]="Hava","Air",IF(logistics_classification_dataset__1[[#This Row],[Shipment_Type]]="Deniz","Sea")))</f>
        <v>Road</v>
      </c>
      <c r="F495">
        <v>1878.42</v>
      </c>
      <c r="G495" t="str">
        <f t="shared" si="14"/>
        <v>1501–2000</v>
      </c>
      <c r="H495" s="1">
        <v>1889</v>
      </c>
      <c r="I495" t="str">
        <f t="shared" si="15"/>
        <v>1501–2000</v>
      </c>
      <c r="J495" t="s">
        <v>14</v>
      </c>
      <c r="K495" t="str">
        <f>IF(logistics_classification_dataset__1[[#This Row],[Customer_Segment]]="Bireysel","Individual",IF(logistics_classification_dataset__1[[#This Row],[Customer_Segment]]="Kurumsal","Corporate"))</f>
        <v>Corporate</v>
      </c>
      <c r="L495">
        <v>1</v>
      </c>
    </row>
    <row r="496" spans="1:12" x14ac:dyDescent="0.35">
      <c r="A496">
        <v>495</v>
      </c>
      <c r="B496" t="s">
        <v>16</v>
      </c>
      <c r="C496" t="s">
        <v>18</v>
      </c>
      <c r="D496" t="s">
        <v>10</v>
      </c>
      <c r="E496" t="str">
        <f>IF(logistics_classification_dataset__1[[#This Row],[Shipment_Type]]="Kara","Road",IF(logistics_classification_dataset__1[[#This Row],[Shipment_Type]]="Hava","Air",IF(logistics_classification_dataset__1[[#This Row],[Shipment_Type]]="Deniz","Sea")))</f>
        <v>Road</v>
      </c>
      <c r="F496">
        <v>18.329999999999998</v>
      </c>
      <c r="G496" t="str">
        <f t="shared" si="14"/>
        <v>0–500</v>
      </c>
      <c r="H496" s="1">
        <v>681.4</v>
      </c>
      <c r="I496" t="str">
        <f t="shared" si="15"/>
        <v>501–1000</v>
      </c>
      <c r="J496" t="s">
        <v>11</v>
      </c>
      <c r="K496" t="str">
        <f>IF(logistics_classification_dataset__1[[#This Row],[Customer_Segment]]="Bireysel","Individual",IF(logistics_classification_dataset__1[[#This Row],[Customer_Segment]]="Kurumsal","Corporate"))</f>
        <v>Individual</v>
      </c>
      <c r="L496">
        <v>1</v>
      </c>
    </row>
    <row r="497" spans="1:12" x14ac:dyDescent="0.35">
      <c r="A497">
        <v>496</v>
      </c>
      <c r="B497" t="s">
        <v>9</v>
      </c>
      <c r="C497" t="s">
        <v>8</v>
      </c>
      <c r="D497" t="s">
        <v>10</v>
      </c>
      <c r="E497" t="str">
        <f>IF(logistics_classification_dataset__1[[#This Row],[Shipment_Type]]="Kara","Road",IF(logistics_classification_dataset__1[[#This Row],[Shipment_Type]]="Hava","Air",IF(logistics_classification_dataset__1[[#This Row],[Shipment_Type]]="Deniz","Sea")))</f>
        <v>Road</v>
      </c>
      <c r="F497">
        <v>1545.74</v>
      </c>
      <c r="G497" t="str">
        <f t="shared" si="14"/>
        <v>1501–2000</v>
      </c>
      <c r="H497" s="1">
        <v>1339.2</v>
      </c>
      <c r="I497" t="str">
        <f t="shared" si="15"/>
        <v>1001–1500</v>
      </c>
      <c r="J497" t="s">
        <v>14</v>
      </c>
      <c r="K497" t="str">
        <f>IF(logistics_classification_dataset__1[[#This Row],[Customer_Segment]]="Bireysel","Individual",IF(logistics_classification_dataset__1[[#This Row],[Customer_Segment]]="Kurumsal","Corporate"))</f>
        <v>Corporate</v>
      </c>
      <c r="L497">
        <v>1</v>
      </c>
    </row>
    <row r="498" spans="1:12" x14ac:dyDescent="0.35">
      <c r="A498">
        <v>497</v>
      </c>
      <c r="B498" t="s">
        <v>8</v>
      </c>
      <c r="C498" t="s">
        <v>17</v>
      </c>
      <c r="D498" t="s">
        <v>10</v>
      </c>
      <c r="E498" t="str">
        <f>IF(logistics_classification_dataset__1[[#This Row],[Shipment_Type]]="Kara","Road",IF(logistics_classification_dataset__1[[#This Row],[Shipment_Type]]="Hava","Air",IF(logistics_classification_dataset__1[[#This Row],[Shipment_Type]]="Deniz","Sea")))</f>
        <v>Road</v>
      </c>
      <c r="F498">
        <v>1252.28</v>
      </c>
      <c r="G498" t="str">
        <f t="shared" si="14"/>
        <v>1001–1500</v>
      </c>
      <c r="H498" s="1">
        <v>1321.9</v>
      </c>
      <c r="I498" t="str">
        <f t="shared" si="15"/>
        <v>1001–1500</v>
      </c>
      <c r="J498" t="s">
        <v>11</v>
      </c>
      <c r="K498" t="str">
        <f>IF(logistics_classification_dataset__1[[#This Row],[Customer_Segment]]="Bireysel","Individual",IF(logistics_classification_dataset__1[[#This Row],[Customer_Segment]]="Kurumsal","Corporate"))</f>
        <v>Individual</v>
      </c>
      <c r="L498">
        <v>1</v>
      </c>
    </row>
    <row r="499" spans="1:12" x14ac:dyDescent="0.35">
      <c r="A499">
        <v>498</v>
      </c>
      <c r="B499" t="s">
        <v>8</v>
      </c>
      <c r="C499" t="s">
        <v>20</v>
      </c>
      <c r="D499" t="s">
        <v>10</v>
      </c>
      <c r="E499" t="str">
        <f>IF(logistics_classification_dataset__1[[#This Row],[Shipment_Type]]="Kara","Road",IF(logistics_classification_dataset__1[[#This Row],[Shipment_Type]]="Hava","Air",IF(logistics_classification_dataset__1[[#This Row],[Shipment_Type]]="Deniz","Sea")))</f>
        <v>Road</v>
      </c>
      <c r="F499">
        <v>750.24</v>
      </c>
      <c r="G499" t="str">
        <f t="shared" si="14"/>
        <v>501–1000</v>
      </c>
      <c r="H499" s="1">
        <v>539.6</v>
      </c>
      <c r="I499" t="str">
        <f t="shared" si="15"/>
        <v>501–1000</v>
      </c>
      <c r="J499" t="s">
        <v>11</v>
      </c>
      <c r="K499" t="str">
        <f>IF(logistics_classification_dataset__1[[#This Row],[Customer_Segment]]="Bireysel","Individual",IF(logistics_classification_dataset__1[[#This Row],[Customer_Segment]]="Kurumsal","Corporate"))</f>
        <v>Individual</v>
      </c>
      <c r="L499">
        <v>1</v>
      </c>
    </row>
    <row r="500" spans="1:12" x14ac:dyDescent="0.35">
      <c r="A500">
        <v>499</v>
      </c>
      <c r="B500" t="s">
        <v>20</v>
      </c>
      <c r="C500" t="s">
        <v>22</v>
      </c>
      <c r="D500" t="s">
        <v>15</v>
      </c>
      <c r="E500" t="str">
        <f>IF(logistics_classification_dataset__1[[#This Row],[Shipment_Type]]="Kara","Road",IF(logistics_classification_dataset__1[[#This Row],[Shipment_Type]]="Hava","Air",IF(logistics_classification_dataset__1[[#This Row],[Shipment_Type]]="Deniz","Sea")))</f>
        <v>Air</v>
      </c>
      <c r="F500">
        <v>105.73</v>
      </c>
      <c r="G500" t="str">
        <f t="shared" si="14"/>
        <v>0–500</v>
      </c>
      <c r="H500" s="1">
        <v>1318.3</v>
      </c>
      <c r="I500" t="str">
        <f t="shared" si="15"/>
        <v>1001–1500</v>
      </c>
      <c r="J500" t="s">
        <v>14</v>
      </c>
      <c r="K500" t="str">
        <f>IF(logistics_classification_dataset__1[[#This Row],[Customer_Segment]]="Bireysel","Individual",IF(logistics_classification_dataset__1[[#This Row],[Customer_Segment]]="Kurumsal","Corporate"))</f>
        <v>Corporate</v>
      </c>
      <c r="L500">
        <v>1</v>
      </c>
    </row>
    <row r="501" spans="1:12" x14ac:dyDescent="0.35">
      <c r="A501">
        <v>500</v>
      </c>
      <c r="B501" t="s">
        <v>18</v>
      </c>
      <c r="C501" t="s">
        <v>16</v>
      </c>
      <c r="D501" t="s">
        <v>10</v>
      </c>
      <c r="E501" t="str">
        <f>IF(logistics_classification_dataset__1[[#This Row],[Shipment_Type]]="Kara","Road",IF(logistics_classification_dataset__1[[#This Row],[Shipment_Type]]="Hava","Air",IF(logistics_classification_dataset__1[[#This Row],[Shipment_Type]]="Deniz","Sea")))</f>
        <v>Road</v>
      </c>
      <c r="F501">
        <v>1256.8399999999999</v>
      </c>
      <c r="G501" t="str">
        <f t="shared" si="14"/>
        <v>1001–1500</v>
      </c>
      <c r="H501" s="1">
        <v>464.1</v>
      </c>
      <c r="I501" t="str">
        <f t="shared" si="15"/>
        <v>0–500</v>
      </c>
      <c r="J501" t="s">
        <v>11</v>
      </c>
      <c r="K501" t="str">
        <f>IF(logistics_classification_dataset__1[[#This Row],[Customer_Segment]]="Bireysel","Individual",IF(logistics_classification_dataset__1[[#This Row],[Customer_Segment]]="Kurumsal","Corporate"))</f>
        <v>Individual</v>
      </c>
      <c r="L501">
        <v>1</v>
      </c>
    </row>
    <row r="502" spans="1:12" x14ac:dyDescent="0.35">
      <c r="A502">
        <v>501</v>
      </c>
      <c r="B502" t="s">
        <v>20</v>
      </c>
      <c r="C502" t="s">
        <v>21</v>
      </c>
      <c r="D502" t="s">
        <v>10</v>
      </c>
      <c r="E502" t="str">
        <f>IF(logistics_classification_dataset__1[[#This Row],[Shipment_Type]]="Kara","Road",IF(logistics_classification_dataset__1[[#This Row],[Shipment_Type]]="Hava","Air",IF(logistics_classification_dataset__1[[#This Row],[Shipment_Type]]="Deniz","Sea")))</f>
        <v>Road</v>
      </c>
      <c r="F502">
        <v>77.430000000000007</v>
      </c>
      <c r="G502" t="str">
        <f t="shared" si="14"/>
        <v>0–500</v>
      </c>
      <c r="H502" s="1">
        <v>287.89999999999998</v>
      </c>
      <c r="I502" t="str">
        <f t="shared" si="15"/>
        <v>0–500</v>
      </c>
      <c r="J502" t="s">
        <v>14</v>
      </c>
      <c r="K502" t="str">
        <f>IF(logistics_classification_dataset__1[[#This Row],[Customer_Segment]]="Bireysel","Individual",IF(logistics_classification_dataset__1[[#This Row],[Customer_Segment]]="Kurumsal","Corporate"))</f>
        <v>Corporate</v>
      </c>
      <c r="L502">
        <v>1</v>
      </c>
    </row>
    <row r="503" spans="1:12" x14ac:dyDescent="0.35">
      <c r="A503">
        <v>502</v>
      </c>
      <c r="B503" t="s">
        <v>9</v>
      </c>
      <c r="C503" t="s">
        <v>12</v>
      </c>
      <c r="D503" t="s">
        <v>10</v>
      </c>
      <c r="E503" t="str">
        <f>IF(logistics_classification_dataset__1[[#This Row],[Shipment_Type]]="Kara","Road",IF(logistics_classification_dataset__1[[#This Row],[Shipment_Type]]="Hava","Air",IF(logistics_classification_dataset__1[[#This Row],[Shipment_Type]]="Deniz","Sea")))</f>
        <v>Road</v>
      </c>
      <c r="F503">
        <v>1872.85</v>
      </c>
      <c r="G503" t="str">
        <f t="shared" si="14"/>
        <v>1501–2000</v>
      </c>
      <c r="H503" s="1">
        <v>1417.7</v>
      </c>
      <c r="I503" t="str">
        <f t="shared" si="15"/>
        <v>1001–1500</v>
      </c>
      <c r="J503" t="s">
        <v>11</v>
      </c>
      <c r="K503" t="str">
        <f>IF(logistics_classification_dataset__1[[#This Row],[Customer_Segment]]="Bireysel","Individual",IF(logistics_classification_dataset__1[[#This Row],[Customer_Segment]]="Kurumsal","Corporate"))</f>
        <v>Individual</v>
      </c>
      <c r="L503">
        <v>1</v>
      </c>
    </row>
    <row r="504" spans="1:12" x14ac:dyDescent="0.35">
      <c r="A504">
        <v>503</v>
      </c>
      <c r="B504" t="s">
        <v>9</v>
      </c>
      <c r="C504" t="s">
        <v>12</v>
      </c>
      <c r="D504" t="s">
        <v>10</v>
      </c>
      <c r="E504" t="str">
        <f>IF(logistics_classification_dataset__1[[#This Row],[Shipment_Type]]="Kara","Road",IF(logistics_classification_dataset__1[[#This Row],[Shipment_Type]]="Hava","Air",IF(logistics_classification_dataset__1[[#This Row],[Shipment_Type]]="Deniz","Sea")))</f>
        <v>Road</v>
      </c>
      <c r="F504">
        <v>1086.27</v>
      </c>
      <c r="G504" t="str">
        <f t="shared" si="14"/>
        <v>1001–1500</v>
      </c>
      <c r="H504" s="1">
        <v>271.2</v>
      </c>
      <c r="I504" t="str">
        <f t="shared" si="15"/>
        <v>0–500</v>
      </c>
      <c r="J504" t="s">
        <v>14</v>
      </c>
      <c r="K504" t="str">
        <f>IF(logistics_classification_dataset__1[[#This Row],[Customer_Segment]]="Bireysel","Individual",IF(logistics_classification_dataset__1[[#This Row],[Customer_Segment]]="Kurumsal","Corporate"))</f>
        <v>Corporate</v>
      </c>
      <c r="L504">
        <v>1</v>
      </c>
    </row>
    <row r="505" spans="1:12" x14ac:dyDescent="0.35">
      <c r="A505">
        <v>504</v>
      </c>
      <c r="B505" t="s">
        <v>12</v>
      </c>
      <c r="C505" t="s">
        <v>13</v>
      </c>
      <c r="D505" t="s">
        <v>10</v>
      </c>
      <c r="E505" t="str">
        <f>IF(logistics_classification_dataset__1[[#This Row],[Shipment_Type]]="Kara","Road",IF(logistics_classification_dataset__1[[#This Row],[Shipment_Type]]="Hava","Air",IF(logistics_classification_dataset__1[[#This Row],[Shipment_Type]]="Deniz","Sea")))</f>
        <v>Road</v>
      </c>
      <c r="F505">
        <v>187.96</v>
      </c>
      <c r="G505" t="str">
        <f t="shared" si="14"/>
        <v>0–500</v>
      </c>
      <c r="H505" s="1">
        <v>1994</v>
      </c>
      <c r="I505" t="str">
        <f t="shared" si="15"/>
        <v>1501–2000</v>
      </c>
      <c r="J505" t="s">
        <v>11</v>
      </c>
      <c r="K505" t="str">
        <f>IF(logistics_classification_dataset__1[[#This Row],[Customer_Segment]]="Bireysel","Individual",IF(logistics_classification_dataset__1[[#This Row],[Customer_Segment]]="Kurumsal","Corporate"))</f>
        <v>Individual</v>
      </c>
      <c r="L505">
        <v>1</v>
      </c>
    </row>
    <row r="506" spans="1:12" x14ac:dyDescent="0.35">
      <c r="A506">
        <v>505</v>
      </c>
      <c r="B506" t="s">
        <v>20</v>
      </c>
      <c r="C506" t="s">
        <v>22</v>
      </c>
      <c r="D506" t="s">
        <v>10</v>
      </c>
      <c r="E506" t="str">
        <f>IF(logistics_classification_dataset__1[[#This Row],[Shipment_Type]]="Kara","Road",IF(logistics_classification_dataset__1[[#This Row],[Shipment_Type]]="Hava","Air",IF(logistics_classification_dataset__1[[#This Row],[Shipment_Type]]="Deniz","Sea")))</f>
        <v>Road</v>
      </c>
      <c r="F506">
        <v>444.86</v>
      </c>
      <c r="G506" t="str">
        <f t="shared" si="14"/>
        <v>0–500</v>
      </c>
      <c r="H506" s="1">
        <v>407.7</v>
      </c>
      <c r="I506" t="str">
        <f t="shared" si="15"/>
        <v>0–500</v>
      </c>
      <c r="J506" t="s">
        <v>11</v>
      </c>
      <c r="K506" t="str">
        <f>IF(logistics_classification_dataset__1[[#This Row],[Customer_Segment]]="Bireysel","Individual",IF(logistics_classification_dataset__1[[#This Row],[Customer_Segment]]="Kurumsal","Corporate"))</f>
        <v>Individual</v>
      </c>
      <c r="L506">
        <v>1</v>
      </c>
    </row>
    <row r="507" spans="1:12" x14ac:dyDescent="0.35">
      <c r="A507">
        <v>506</v>
      </c>
      <c r="B507" t="s">
        <v>21</v>
      </c>
      <c r="C507" t="s">
        <v>12</v>
      </c>
      <c r="D507" t="s">
        <v>10</v>
      </c>
      <c r="E507" t="str">
        <f>IF(logistics_classification_dataset__1[[#This Row],[Shipment_Type]]="Kara","Road",IF(logistics_classification_dataset__1[[#This Row],[Shipment_Type]]="Hava","Air",IF(logistics_classification_dataset__1[[#This Row],[Shipment_Type]]="Deniz","Sea")))</f>
        <v>Road</v>
      </c>
      <c r="F507">
        <v>1452.82</v>
      </c>
      <c r="G507" t="str">
        <f t="shared" si="14"/>
        <v>1001–1500</v>
      </c>
      <c r="H507" s="1">
        <v>1208.5999999999999</v>
      </c>
      <c r="I507" t="str">
        <f t="shared" si="15"/>
        <v>1001–1500</v>
      </c>
      <c r="J507" t="s">
        <v>11</v>
      </c>
      <c r="K507" t="str">
        <f>IF(logistics_classification_dataset__1[[#This Row],[Customer_Segment]]="Bireysel","Individual",IF(logistics_classification_dataset__1[[#This Row],[Customer_Segment]]="Kurumsal","Corporate"))</f>
        <v>Individual</v>
      </c>
      <c r="L507">
        <v>1</v>
      </c>
    </row>
    <row r="508" spans="1:12" x14ac:dyDescent="0.35">
      <c r="A508">
        <v>507</v>
      </c>
      <c r="B508" t="s">
        <v>18</v>
      </c>
      <c r="C508" t="s">
        <v>9</v>
      </c>
      <c r="D508" t="s">
        <v>10</v>
      </c>
      <c r="E508" t="str">
        <f>IF(logistics_classification_dataset__1[[#This Row],[Shipment_Type]]="Kara","Road",IF(logistics_classification_dataset__1[[#This Row],[Shipment_Type]]="Hava","Air",IF(logistics_classification_dataset__1[[#This Row],[Shipment_Type]]="Deniz","Sea")))</f>
        <v>Road</v>
      </c>
      <c r="F508">
        <v>1236.4100000000001</v>
      </c>
      <c r="G508" t="str">
        <f t="shared" si="14"/>
        <v>1001–1500</v>
      </c>
      <c r="H508" s="1">
        <v>852.2</v>
      </c>
      <c r="I508" t="str">
        <f t="shared" si="15"/>
        <v>501–1000</v>
      </c>
      <c r="J508" t="s">
        <v>14</v>
      </c>
      <c r="K508" t="str">
        <f>IF(logistics_classification_dataset__1[[#This Row],[Customer_Segment]]="Bireysel","Individual",IF(logistics_classification_dataset__1[[#This Row],[Customer_Segment]]="Kurumsal","Corporate"))</f>
        <v>Corporate</v>
      </c>
      <c r="L508">
        <v>0</v>
      </c>
    </row>
    <row r="509" spans="1:12" x14ac:dyDescent="0.35">
      <c r="A509">
        <v>508</v>
      </c>
      <c r="B509" t="s">
        <v>9</v>
      </c>
      <c r="C509" t="s">
        <v>21</v>
      </c>
      <c r="D509" t="s">
        <v>10</v>
      </c>
      <c r="E509" t="str">
        <f>IF(logistics_classification_dataset__1[[#This Row],[Shipment_Type]]="Kara","Road",IF(logistics_classification_dataset__1[[#This Row],[Shipment_Type]]="Hava","Air",IF(logistics_classification_dataset__1[[#This Row],[Shipment_Type]]="Deniz","Sea")))</f>
        <v>Road</v>
      </c>
      <c r="F509">
        <v>1480.12</v>
      </c>
      <c r="G509" t="str">
        <f t="shared" si="14"/>
        <v>1001–1500</v>
      </c>
      <c r="H509" s="1">
        <v>296.5</v>
      </c>
      <c r="I509" t="str">
        <f t="shared" si="15"/>
        <v>0–500</v>
      </c>
      <c r="J509" t="s">
        <v>11</v>
      </c>
      <c r="K509" t="str">
        <f>IF(logistics_classification_dataset__1[[#This Row],[Customer_Segment]]="Bireysel","Individual",IF(logistics_classification_dataset__1[[#This Row],[Customer_Segment]]="Kurumsal","Corporate"))</f>
        <v>Individual</v>
      </c>
      <c r="L509">
        <v>0</v>
      </c>
    </row>
    <row r="510" spans="1:12" x14ac:dyDescent="0.35">
      <c r="A510">
        <v>509</v>
      </c>
      <c r="B510" t="s">
        <v>12</v>
      </c>
      <c r="C510" t="s">
        <v>9</v>
      </c>
      <c r="D510" t="s">
        <v>15</v>
      </c>
      <c r="E510" t="str">
        <f>IF(logistics_classification_dataset__1[[#This Row],[Shipment_Type]]="Kara","Road",IF(logistics_classification_dataset__1[[#This Row],[Shipment_Type]]="Hava","Air",IF(logistics_classification_dataset__1[[#This Row],[Shipment_Type]]="Deniz","Sea")))</f>
        <v>Air</v>
      </c>
      <c r="F510">
        <v>433.26</v>
      </c>
      <c r="G510" t="str">
        <f t="shared" si="14"/>
        <v>0–500</v>
      </c>
      <c r="H510" s="1">
        <v>104.3</v>
      </c>
      <c r="I510" t="str">
        <f t="shared" si="15"/>
        <v>0–500</v>
      </c>
      <c r="J510" t="s">
        <v>14</v>
      </c>
      <c r="K510" t="str">
        <f>IF(logistics_classification_dataset__1[[#This Row],[Customer_Segment]]="Bireysel","Individual",IF(logistics_classification_dataset__1[[#This Row],[Customer_Segment]]="Kurumsal","Corporate"))</f>
        <v>Corporate</v>
      </c>
      <c r="L510">
        <v>1</v>
      </c>
    </row>
    <row r="511" spans="1:12" x14ac:dyDescent="0.35">
      <c r="A511">
        <v>510</v>
      </c>
      <c r="B511" t="s">
        <v>20</v>
      </c>
      <c r="C511" t="s">
        <v>17</v>
      </c>
      <c r="D511" t="s">
        <v>10</v>
      </c>
      <c r="E511" t="str">
        <f>IF(logistics_classification_dataset__1[[#This Row],[Shipment_Type]]="Kara","Road",IF(logistics_classification_dataset__1[[#This Row],[Shipment_Type]]="Hava","Air",IF(logistics_classification_dataset__1[[#This Row],[Shipment_Type]]="Deniz","Sea")))</f>
        <v>Road</v>
      </c>
      <c r="F511">
        <v>1331.66</v>
      </c>
      <c r="G511" t="str">
        <f t="shared" si="14"/>
        <v>1001–1500</v>
      </c>
      <c r="H511" s="1">
        <v>1264.3</v>
      </c>
      <c r="I511" t="str">
        <f t="shared" si="15"/>
        <v>1001–1500</v>
      </c>
      <c r="J511" t="s">
        <v>11</v>
      </c>
      <c r="K511" t="str">
        <f>IF(logistics_classification_dataset__1[[#This Row],[Customer_Segment]]="Bireysel","Individual",IF(logistics_classification_dataset__1[[#This Row],[Customer_Segment]]="Kurumsal","Corporate"))</f>
        <v>Individual</v>
      </c>
      <c r="L511">
        <v>1</v>
      </c>
    </row>
    <row r="512" spans="1:12" x14ac:dyDescent="0.35">
      <c r="A512">
        <v>511</v>
      </c>
      <c r="B512" t="s">
        <v>18</v>
      </c>
      <c r="C512" t="s">
        <v>21</v>
      </c>
      <c r="D512" t="s">
        <v>10</v>
      </c>
      <c r="E512" t="str">
        <f>IF(logistics_classification_dataset__1[[#This Row],[Shipment_Type]]="Kara","Road",IF(logistics_classification_dataset__1[[#This Row],[Shipment_Type]]="Hava","Air",IF(logistics_classification_dataset__1[[#This Row],[Shipment_Type]]="Deniz","Sea")))</f>
        <v>Road</v>
      </c>
      <c r="F512">
        <v>998.59</v>
      </c>
      <c r="G512" t="str">
        <f t="shared" si="14"/>
        <v>501–1000</v>
      </c>
      <c r="H512" s="1">
        <v>1623.2</v>
      </c>
      <c r="I512" t="str">
        <f t="shared" si="15"/>
        <v>1501–2000</v>
      </c>
      <c r="J512" t="s">
        <v>11</v>
      </c>
      <c r="K512" t="str">
        <f>IF(logistics_classification_dataset__1[[#This Row],[Customer_Segment]]="Bireysel","Individual",IF(logistics_classification_dataset__1[[#This Row],[Customer_Segment]]="Kurumsal","Corporate"))</f>
        <v>Individual</v>
      </c>
      <c r="L512">
        <v>1</v>
      </c>
    </row>
    <row r="513" spans="1:12" x14ac:dyDescent="0.35">
      <c r="A513">
        <v>512</v>
      </c>
      <c r="B513" t="s">
        <v>20</v>
      </c>
      <c r="C513" t="s">
        <v>9</v>
      </c>
      <c r="D513" t="s">
        <v>15</v>
      </c>
      <c r="E513" t="str">
        <f>IF(logistics_classification_dataset__1[[#This Row],[Shipment_Type]]="Kara","Road",IF(logistics_classification_dataset__1[[#This Row],[Shipment_Type]]="Hava","Air",IF(logistics_classification_dataset__1[[#This Row],[Shipment_Type]]="Deniz","Sea")))</f>
        <v>Air</v>
      </c>
      <c r="F513">
        <v>1486.94</v>
      </c>
      <c r="G513" t="str">
        <f t="shared" si="14"/>
        <v>1001–1500</v>
      </c>
      <c r="H513" s="1">
        <v>1691.9</v>
      </c>
      <c r="I513" t="str">
        <f t="shared" si="15"/>
        <v>1501–2000</v>
      </c>
      <c r="J513" t="s">
        <v>11</v>
      </c>
      <c r="K513" t="str">
        <f>IF(logistics_classification_dataset__1[[#This Row],[Customer_Segment]]="Bireysel","Individual",IF(logistics_classification_dataset__1[[#This Row],[Customer_Segment]]="Kurumsal","Corporate"))</f>
        <v>Individual</v>
      </c>
      <c r="L513">
        <v>1</v>
      </c>
    </row>
    <row r="514" spans="1:12" x14ac:dyDescent="0.35">
      <c r="A514">
        <v>513</v>
      </c>
      <c r="B514" t="s">
        <v>8</v>
      </c>
      <c r="C514" t="s">
        <v>21</v>
      </c>
      <c r="D514" t="s">
        <v>10</v>
      </c>
      <c r="E514" t="str">
        <f>IF(logistics_classification_dataset__1[[#This Row],[Shipment_Type]]="Kara","Road",IF(logistics_classification_dataset__1[[#This Row],[Shipment_Type]]="Hava","Air",IF(logistics_classification_dataset__1[[#This Row],[Shipment_Type]]="Deniz","Sea")))</f>
        <v>Road</v>
      </c>
      <c r="F514">
        <v>657.45</v>
      </c>
      <c r="G514" t="str">
        <f t="shared" ref="G514:G577" si="16">IF(F514&lt;=500,"0–500",IF(F514&lt;=1000,"501–1000",IF(F514&lt;=1500,"1001–1500","1501–2000")))</f>
        <v>501–1000</v>
      </c>
      <c r="H514" s="1">
        <v>991.3</v>
      </c>
      <c r="I514" t="str">
        <f t="shared" ref="I514:I577" si="17">IF(H514&lt;=500,"0–500",IF(H514&lt;=1000,"501–1000",IF(H514&lt;=1500,"1001–1500",IF(H514&lt;=2000,"1501–2000","&gt;2000"))))</f>
        <v>501–1000</v>
      </c>
      <c r="J514" t="s">
        <v>11</v>
      </c>
      <c r="K514" t="str">
        <f>IF(logistics_classification_dataset__1[[#This Row],[Customer_Segment]]="Bireysel","Individual",IF(logistics_classification_dataset__1[[#This Row],[Customer_Segment]]="Kurumsal","Corporate"))</f>
        <v>Individual</v>
      </c>
      <c r="L514">
        <v>1</v>
      </c>
    </row>
    <row r="515" spans="1:12" x14ac:dyDescent="0.35">
      <c r="A515">
        <v>514</v>
      </c>
      <c r="B515" t="s">
        <v>12</v>
      </c>
      <c r="C515" t="s">
        <v>17</v>
      </c>
      <c r="D515" t="s">
        <v>15</v>
      </c>
      <c r="E515" t="str">
        <f>IF(logistics_classification_dataset__1[[#This Row],[Shipment_Type]]="Kara","Road",IF(logistics_classification_dataset__1[[#This Row],[Shipment_Type]]="Hava","Air",IF(logistics_classification_dataset__1[[#This Row],[Shipment_Type]]="Deniz","Sea")))</f>
        <v>Air</v>
      </c>
      <c r="F515">
        <v>1780.66</v>
      </c>
      <c r="G515" t="str">
        <f t="shared" si="16"/>
        <v>1501–2000</v>
      </c>
      <c r="H515" s="1">
        <v>1566</v>
      </c>
      <c r="I515" t="str">
        <f t="shared" si="17"/>
        <v>1501–2000</v>
      </c>
      <c r="J515" t="s">
        <v>14</v>
      </c>
      <c r="K515" t="str">
        <f>IF(logistics_classification_dataset__1[[#This Row],[Customer_Segment]]="Bireysel","Individual",IF(logistics_classification_dataset__1[[#This Row],[Customer_Segment]]="Kurumsal","Corporate"))</f>
        <v>Corporate</v>
      </c>
      <c r="L515">
        <v>1</v>
      </c>
    </row>
    <row r="516" spans="1:12" x14ac:dyDescent="0.35">
      <c r="A516">
        <v>515</v>
      </c>
      <c r="B516" t="s">
        <v>18</v>
      </c>
      <c r="C516" t="s">
        <v>13</v>
      </c>
      <c r="D516" t="s">
        <v>10</v>
      </c>
      <c r="E516" t="str">
        <f>IF(logistics_classification_dataset__1[[#This Row],[Shipment_Type]]="Kara","Road",IF(logistics_classification_dataset__1[[#This Row],[Shipment_Type]]="Hava","Air",IF(logistics_classification_dataset__1[[#This Row],[Shipment_Type]]="Deniz","Sea")))</f>
        <v>Road</v>
      </c>
      <c r="F516">
        <v>173.18</v>
      </c>
      <c r="G516" t="str">
        <f t="shared" si="16"/>
        <v>0–500</v>
      </c>
      <c r="H516" s="1">
        <v>1362.1</v>
      </c>
      <c r="I516" t="str">
        <f t="shared" si="17"/>
        <v>1001–1500</v>
      </c>
      <c r="J516" t="s">
        <v>11</v>
      </c>
      <c r="K516" t="str">
        <f>IF(logistics_classification_dataset__1[[#This Row],[Customer_Segment]]="Bireysel","Individual",IF(logistics_classification_dataset__1[[#This Row],[Customer_Segment]]="Kurumsal","Corporate"))</f>
        <v>Individual</v>
      </c>
      <c r="L516">
        <v>1</v>
      </c>
    </row>
    <row r="517" spans="1:12" x14ac:dyDescent="0.35">
      <c r="A517">
        <v>516</v>
      </c>
      <c r="B517" t="s">
        <v>17</v>
      </c>
      <c r="C517" t="s">
        <v>22</v>
      </c>
      <c r="D517" t="s">
        <v>10</v>
      </c>
      <c r="E517" t="str">
        <f>IF(logistics_classification_dataset__1[[#This Row],[Shipment_Type]]="Kara","Road",IF(logistics_classification_dataset__1[[#This Row],[Shipment_Type]]="Hava","Air",IF(logistics_classification_dataset__1[[#This Row],[Shipment_Type]]="Deniz","Sea")))</f>
        <v>Road</v>
      </c>
      <c r="F517">
        <v>1615.34</v>
      </c>
      <c r="G517" t="str">
        <f t="shared" si="16"/>
        <v>1501–2000</v>
      </c>
      <c r="H517" s="1">
        <v>1462.3</v>
      </c>
      <c r="I517" t="str">
        <f t="shared" si="17"/>
        <v>1001–1500</v>
      </c>
      <c r="J517" t="s">
        <v>11</v>
      </c>
      <c r="K517" t="str">
        <f>IF(logistics_classification_dataset__1[[#This Row],[Customer_Segment]]="Bireysel","Individual",IF(logistics_classification_dataset__1[[#This Row],[Customer_Segment]]="Kurumsal","Corporate"))</f>
        <v>Individual</v>
      </c>
      <c r="L517">
        <v>1</v>
      </c>
    </row>
    <row r="518" spans="1:12" x14ac:dyDescent="0.35">
      <c r="A518">
        <v>517</v>
      </c>
      <c r="B518" t="s">
        <v>16</v>
      </c>
      <c r="C518" t="s">
        <v>22</v>
      </c>
      <c r="D518" t="s">
        <v>10</v>
      </c>
      <c r="E518" t="str">
        <f>IF(logistics_classification_dataset__1[[#This Row],[Shipment_Type]]="Kara","Road",IF(logistics_classification_dataset__1[[#This Row],[Shipment_Type]]="Hava","Air",IF(logistics_classification_dataset__1[[#This Row],[Shipment_Type]]="Deniz","Sea")))</f>
        <v>Road</v>
      </c>
      <c r="F518">
        <v>1723.33</v>
      </c>
      <c r="G518" t="str">
        <f t="shared" si="16"/>
        <v>1501–2000</v>
      </c>
      <c r="H518" s="1">
        <v>1010.6</v>
      </c>
      <c r="I518" t="str">
        <f t="shared" si="17"/>
        <v>1001–1500</v>
      </c>
      <c r="J518" t="s">
        <v>11</v>
      </c>
      <c r="K518" t="str">
        <f>IF(logistics_classification_dataset__1[[#This Row],[Customer_Segment]]="Bireysel","Individual",IF(logistics_classification_dataset__1[[#This Row],[Customer_Segment]]="Kurumsal","Corporate"))</f>
        <v>Individual</v>
      </c>
      <c r="L518">
        <v>1</v>
      </c>
    </row>
    <row r="519" spans="1:12" x14ac:dyDescent="0.35">
      <c r="A519">
        <v>518</v>
      </c>
      <c r="B519" t="s">
        <v>16</v>
      </c>
      <c r="C519" t="s">
        <v>12</v>
      </c>
      <c r="D519" t="s">
        <v>10</v>
      </c>
      <c r="E519" t="str">
        <f>IF(logistics_classification_dataset__1[[#This Row],[Shipment_Type]]="Kara","Road",IF(logistics_classification_dataset__1[[#This Row],[Shipment_Type]]="Hava","Air",IF(logistics_classification_dataset__1[[#This Row],[Shipment_Type]]="Deniz","Sea")))</f>
        <v>Road</v>
      </c>
      <c r="F519">
        <v>1635.42</v>
      </c>
      <c r="G519" t="str">
        <f t="shared" si="16"/>
        <v>1501–2000</v>
      </c>
      <c r="H519" s="1">
        <v>1285.2</v>
      </c>
      <c r="I519" t="str">
        <f t="shared" si="17"/>
        <v>1001–1500</v>
      </c>
      <c r="J519" t="s">
        <v>11</v>
      </c>
      <c r="K519" t="str">
        <f>IF(logistics_classification_dataset__1[[#This Row],[Customer_Segment]]="Bireysel","Individual",IF(logistics_classification_dataset__1[[#This Row],[Customer_Segment]]="Kurumsal","Corporate"))</f>
        <v>Individual</v>
      </c>
      <c r="L519">
        <v>1</v>
      </c>
    </row>
    <row r="520" spans="1:12" x14ac:dyDescent="0.35">
      <c r="A520">
        <v>519</v>
      </c>
      <c r="B520" t="s">
        <v>18</v>
      </c>
      <c r="C520" t="s">
        <v>9</v>
      </c>
      <c r="D520" t="s">
        <v>15</v>
      </c>
      <c r="E520" t="str">
        <f>IF(logistics_classification_dataset__1[[#This Row],[Shipment_Type]]="Kara","Road",IF(logistics_classification_dataset__1[[#This Row],[Shipment_Type]]="Hava","Air",IF(logistics_classification_dataset__1[[#This Row],[Shipment_Type]]="Deniz","Sea")))</f>
        <v>Air</v>
      </c>
      <c r="F520">
        <v>1027.8900000000001</v>
      </c>
      <c r="G520" t="str">
        <f t="shared" si="16"/>
        <v>1001–1500</v>
      </c>
      <c r="H520" s="1">
        <v>1620.8</v>
      </c>
      <c r="I520" t="str">
        <f t="shared" si="17"/>
        <v>1501–2000</v>
      </c>
      <c r="J520" t="s">
        <v>14</v>
      </c>
      <c r="K520" t="str">
        <f>IF(logistics_classification_dataset__1[[#This Row],[Customer_Segment]]="Bireysel","Individual",IF(logistics_classification_dataset__1[[#This Row],[Customer_Segment]]="Kurumsal","Corporate"))</f>
        <v>Corporate</v>
      </c>
      <c r="L520">
        <v>1</v>
      </c>
    </row>
    <row r="521" spans="1:12" x14ac:dyDescent="0.35">
      <c r="A521">
        <v>520</v>
      </c>
      <c r="B521" t="s">
        <v>20</v>
      </c>
      <c r="C521" t="s">
        <v>12</v>
      </c>
      <c r="D521" t="s">
        <v>10</v>
      </c>
      <c r="E521" t="str">
        <f>IF(logistics_classification_dataset__1[[#This Row],[Shipment_Type]]="Kara","Road",IF(logistics_classification_dataset__1[[#This Row],[Shipment_Type]]="Hava","Air",IF(logistics_classification_dataset__1[[#This Row],[Shipment_Type]]="Deniz","Sea")))</f>
        <v>Road</v>
      </c>
      <c r="F521">
        <v>879.58</v>
      </c>
      <c r="G521" t="str">
        <f t="shared" si="16"/>
        <v>501–1000</v>
      </c>
      <c r="H521" s="1">
        <v>825.9</v>
      </c>
      <c r="I521" t="str">
        <f t="shared" si="17"/>
        <v>501–1000</v>
      </c>
      <c r="J521" t="s">
        <v>11</v>
      </c>
      <c r="K521" t="str">
        <f>IF(logistics_classification_dataset__1[[#This Row],[Customer_Segment]]="Bireysel","Individual",IF(logistics_classification_dataset__1[[#This Row],[Customer_Segment]]="Kurumsal","Corporate"))</f>
        <v>Individual</v>
      </c>
      <c r="L521">
        <v>1</v>
      </c>
    </row>
    <row r="522" spans="1:12" x14ac:dyDescent="0.35">
      <c r="A522">
        <v>521</v>
      </c>
      <c r="B522" t="s">
        <v>12</v>
      </c>
      <c r="C522" t="s">
        <v>8</v>
      </c>
      <c r="D522" t="s">
        <v>15</v>
      </c>
      <c r="E522" t="str">
        <f>IF(logistics_classification_dataset__1[[#This Row],[Shipment_Type]]="Kara","Road",IF(logistics_classification_dataset__1[[#This Row],[Shipment_Type]]="Hava","Air",IF(logistics_classification_dataset__1[[#This Row],[Shipment_Type]]="Deniz","Sea")))</f>
        <v>Air</v>
      </c>
      <c r="F522">
        <v>1992.54</v>
      </c>
      <c r="G522" t="str">
        <f t="shared" si="16"/>
        <v>1501–2000</v>
      </c>
      <c r="H522" s="1">
        <v>1621.7</v>
      </c>
      <c r="I522" t="str">
        <f t="shared" si="17"/>
        <v>1501–2000</v>
      </c>
      <c r="J522" t="s">
        <v>11</v>
      </c>
      <c r="K522" t="str">
        <f>IF(logistics_classification_dataset__1[[#This Row],[Customer_Segment]]="Bireysel","Individual",IF(logistics_classification_dataset__1[[#This Row],[Customer_Segment]]="Kurumsal","Corporate"))</f>
        <v>Individual</v>
      </c>
      <c r="L522">
        <v>1</v>
      </c>
    </row>
    <row r="523" spans="1:12" x14ac:dyDescent="0.35">
      <c r="A523">
        <v>522</v>
      </c>
      <c r="B523" t="s">
        <v>16</v>
      </c>
      <c r="C523" t="s">
        <v>9</v>
      </c>
      <c r="D523" t="s">
        <v>10</v>
      </c>
      <c r="E523" t="str">
        <f>IF(logistics_classification_dataset__1[[#This Row],[Shipment_Type]]="Kara","Road",IF(logistics_classification_dataset__1[[#This Row],[Shipment_Type]]="Hava","Air",IF(logistics_classification_dataset__1[[#This Row],[Shipment_Type]]="Deniz","Sea")))</f>
        <v>Road</v>
      </c>
      <c r="F523">
        <v>46.22</v>
      </c>
      <c r="G523" t="str">
        <f t="shared" si="16"/>
        <v>0–500</v>
      </c>
      <c r="H523" s="1">
        <v>1204.4000000000001</v>
      </c>
      <c r="I523" t="str">
        <f t="shared" si="17"/>
        <v>1001–1500</v>
      </c>
      <c r="J523" t="s">
        <v>14</v>
      </c>
      <c r="K523" t="str">
        <f>IF(logistics_classification_dataset__1[[#This Row],[Customer_Segment]]="Bireysel","Individual",IF(logistics_classification_dataset__1[[#This Row],[Customer_Segment]]="Kurumsal","Corporate"))</f>
        <v>Corporate</v>
      </c>
      <c r="L523">
        <v>1</v>
      </c>
    </row>
    <row r="524" spans="1:12" x14ac:dyDescent="0.35">
      <c r="A524">
        <v>523</v>
      </c>
      <c r="B524" t="s">
        <v>12</v>
      </c>
      <c r="C524" t="s">
        <v>21</v>
      </c>
      <c r="D524" t="s">
        <v>10</v>
      </c>
      <c r="E524" t="str">
        <f>IF(logistics_classification_dataset__1[[#This Row],[Shipment_Type]]="Kara","Road",IF(logistics_classification_dataset__1[[#This Row],[Shipment_Type]]="Hava","Air",IF(logistics_classification_dataset__1[[#This Row],[Shipment_Type]]="Deniz","Sea")))</f>
        <v>Road</v>
      </c>
      <c r="F524">
        <v>1096.02</v>
      </c>
      <c r="G524" t="str">
        <f t="shared" si="16"/>
        <v>1001–1500</v>
      </c>
      <c r="H524" s="1">
        <v>373.5</v>
      </c>
      <c r="I524" t="str">
        <f t="shared" si="17"/>
        <v>0–500</v>
      </c>
      <c r="J524" t="s">
        <v>14</v>
      </c>
      <c r="K524" t="str">
        <f>IF(logistics_classification_dataset__1[[#This Row],[Customer_Segment]]="Bireysel","Individual",IF(logistics_classification_dataset__1[[#This Row],[Customer_Segment]]="Kurumsal","Corporate"))</f>
        <v>Corporate</v>
      </c>
      <c r="L524">
        <v>1</v>
      </c>
    </row>
    <row r="525" spans="1:12" x14ac:dyDescent="0.35">
      <c r="A525">
        <v>524</v>
      </c>
      <c r="B525" t="s">
        <v>16</v>
      </c>
      <c r="C525" t="s">
        <v>18</v>
      </c>
      <c r="D525" t="s">
        <v>10</v>
      </c>
      <c r="E525" t="str">
        <f>IF(logistics_classification_dataset__1[[#This Row],[Shipment_Type]]="Kara","Road",IF(logistics_classification_dataset__1[[#This Row],[Shipment_Type]]="Hava","Air",IF(logistics_classification_dataset__1[[#This Row],[Shipment_Type]]="Deniz","Sea")))</f>
        <v>Road</v>
      </c>
      <c r="F525">
        <v>134.30000000000001</v>
      </c>
      <c r="G525" t="str">
        <f t="shared" si="16"/>
        <v>0–500</v>
      </c>
      <c r="H525" s="1">
        <v>98.1</v>
      </c>
      <c r="I525" t="str">
        <f t="shared" si="17"/>
        <v>0–500</v>
      </c>
      <c r="J525" t="s">
        <v>11</v>
      </c>
      <c r="K525" t="str">
        <f>IF(logistics_classification_dataset__1[[#This Row],[Customer_Segment]]="Bireysel","Individual",IF(logistics_classification_dataset__1[[#This Row],[Customer_Segment]]="Kurumsal","Corporate"))</f>
        <v>Individual</v>
      </c>
      <c r="L525">
        <v>1</v>
      </c>
    </row>
    <row r="526" spans="1:12" x14ac:dyDescent="0.35">
      <c r="A526">
        <v>525</v>
      </c>
      <c r="B526" t="s">
        <v>8</v>
      </c>
      <c r="C526" t="s">
        <v>17</v>
      </c>
      <c r="D526" t="s">
        <v>10</v>
      </c>
      <c r="E526" t="str">
        <f>IF(logistics_classification_dataset__1[[#This Row],[Shipment_Type]]="Kara","Road",IF(logistics_classification_dataset__1[[#This Row],[Shipment_Type]]="Hava","Air",IF(logistics_classification_dataset__1[[#This Row],[Shipment_Type]]="Deniz","Sea")))</f>
        <v>Road</v>
      </c>
      <c r="F526">
        <v>1403.23</v>
      </c>
      <c r="G526" t="str">
        <f t="shared" si="16"/>
        <v>1001–1500</v>
      </c>
      <c r="H526" s="1">
        <v>757.4</v>
      </c>
      <c r="I526" t="str">
        <f t="shared" si="17"/>
        <v>501–1000</v>
      </c>
      <c r="J526" t="s">
        <v>11</v>
      </c>
      <c r="K526" t="str">
        <f>IF(logistics_classification_dataset__1[[#This Row],[Customer_Segment]]="Bireysel","Individual",IF(logistics_classification_dataset__1[[#This Row],[Customer_Segment]]="Kurumsal","Corporate"))</f>
        <v>Individual</v>
      </c>
      <c r="L526">
        <v>1</v>
      </c>
    </row>
    <row r="527" spans="1:12" x14ac:dyDescent="0.35">
      <c r="A527">
        <v>526</v>
      </c>
      <c r="B527" t="s">
        <v>20</v>
      </c>
      <c r="C527" t="s">
        <v>8</v>
      </c>
      <c r="D527" t="s">
        <v>10</v>
      </c>
      <c r="E527" t="str">
        <f>IF(logistics_classification_dataset__1[[#This Row],[Shipment_Type]]="Kara","Road",IF(logistics_classification_dataset__1[[#This Row],[Shipment_Type]]="Hava","Air",IF(logistics_classification_dataset__1[[#This Row],[Shipment_Type]]="Deniz","Sea")))</f>
        <v>Road</v>
      </c>
      <c r="F527">
        <v>412.03</v>
      </c>
      <c r="G527" t="str">
        <f t="shared" si="16"/>
        <v>0–500</v>
      </c>
      <c r="H527" s="1">
        <v>1116.0999999999999</v>
      </c>
      <c r="I527" t="str">
        <f t="shared" si="17"/>
        <v>1001–1500</v>
      </c>
      <c r="J527" t="s">
        <v>11</v>
      </c>
      <c r="K527" t="str">
        <f>IF(logistics_classification_dataset__1[[#This Row],[Customer_Segment]]="Bireysel","Individual",IF(logistics_classification_dataset__1[[#This Row],[Customer_Segment]]="Kurumsal","Corporate"))</f>
        <v>Individual</v>
      </c>
      <c r="L527">
        <v>1</v>
      </c>
    </row>
    <row r="528" spans="1:12" x14ac:dyDescent="0.35">
      <c r="A528">
        <v>527</v>
      </c>
      <c r="B528" t="s">
        <v>8</v>
      </c>
      <c r="C528" t="s">
        <v>17</v>
      </c>
      <c r="D528" t="s">
        <v>15</v>
      </c>
      <c r="E528" t="str">
        <f>IF(logistics_classification_dataset__1[[#This Row],[Shipment_Type]]="Kara","Road",IF(logistics_classification_dataset__1[[#This Row],[Shipment_Type]]="Hava","Air",IF(logistics_classification_dataset__1[[#This Row],[Shipment_Type]]="Deniz","Sea")))</f>
        <v>Air</v>
      </c>
      <c r="F528">
        <v>1309.72</v>
      </c>
      <c r="G528" t="str">
        <f t="shared" si="16"/>
        <v>1001–1500</v>
      </c>
      <c r="H528" s="1">
        <v>1687.6</v>
      </c>
      <c r="I528" t="str">
        <f t="shared" si="17"/>
        <v>1501–2000</v>
      </c>
      <c r="J528" t="s">
        <v>11</v>
      </c>
      <c r="K528" t="str">
        <f>IF(logistics_classification_dataset__1[[#This Row],[Customer_Segment]]="Bireysel","Individual",IF(logistics_classification_dataset__1[[#This Row],[Customer_Segment]]="Kurumsal","Corporate"))</f>
        <v>Individual</v>
      </c>
      <c r="L528">
        <v>1</v>
      </c>
    </row>
    <row r="529" spans="1:12" x14ac:dyDescent="0.35">
      <c r="A529">
        <v>528</v>
      </c>
      <c r="B529" t="s">
        <v>16</v>
      </c>
      <c r="C529" t="s">
        <v>22</v>
      </c>
      <c r="D529" t="s">
        <v>15</v>
      </c>
      <c r="E529" t="str">
        <f>IF(logistics_classification_dataset__1[[#This Row],[Shipment_Type]]="Kara","Road",IF(logistics_classification_dataset__1[[#This Row],[Shipment_Type]]="Hava","Air",IF(logistics_classification_dataset__1[[#This Row],[Shipment_Type]]="Deniz","Sea")))</f>
        <v>Air</v>
      </c>
      <c r="F529">
        <v>1637.65</v>
      </c>
      <c r="G529" t="str">
        <f t="shared" si="16"/>
        <v>1501–2000</v>
      </c>
      <c r="H529" s="1">
        <v>298.60000000000002</v>
      </c>
      <c r="I529" t="str">
        <f t="shared" si="17"/>
        <v>0–500</v>
      </c>
      <c r="J529" t="s">
        <v>14</v>
      </c>
      <c r="K529" t="str">
        <f>IF(logistics_classification_dataset__1[[#This Row],[Customer_Segment]]="Bireysel","Individual",IF(logistics_classification_dataset__1[[#This Row],[Customer_Segment]]="Kurumsal","Corporate"))</f>
        <v>Corporate</v>
      </c>
      <c r="L529">
        <v>0</v>
      </c>
    </row>
    <row r="530" spans="1:12" x14ac:dyDescent="0.35">
      <c r="A530">
        <v>529</v>
      </c>
      <c r="B530" t="s">
        <v>17</v>
      </c>
      <c r="C530" t="s">
        <v>22</v>
      </c>
      <c r="D530" t="s">
        <v>10</v>
      </c>
      <c r="E530" t="str">
        <f>IF(logistics_classification_dataset__1[[#This Row],[Shipment_Type]]="Kara","Road",IF(logistics_classification_dataset__1[[#This Row],[Shipment_Type]]="Hava","Air",IF(logistics_classification_dataset__1[[#This Row],[Shipment_Type]]="Deniz","Sea")))</f>
        <v>Road</v>
      </c>
      <c r="F530">
        <v>104.79</v>
      </c>
      <c r="G530" t="str">
        <f t="shared" si="16"/>
        <v>0–500</v>
      </c>
      <c r="H530" s="1">
        <v>1610.4</v>
      </c>
      <c r="I530" t="str">
        <f t="shared" si="17"/>
        <v>1501–2000</v>
      </c>
      <c r="J530" t="s">
        <v>11</v>
      </c>
      <c r="K530" t="str">
        <f>IF(logistics_classification_dataset__1[[#This Row],[Customer_Segment]]="Bireysel","Individual",IF(logistics_classification_dataset__1[[#This Row],[Customer_Segment]]="Kurumsal","Corporate"))</f>
        <v>Individual</v>
      </c>
      <c r="L530">
        <v>1</v>
      </c>
    </row>
    <row r="531" spans="1:12" x14ac:dyDescent="0.35">
      <c r="A531">
        <v>530</v>
      </c>
      <c r="B531" t="s">
        <v>17</v>
      </c>
      <c r="C531" t="s">
        <v>12</v>
      </c>
      <c r="D531" t="s">
        <v>15</v>
      </c>
      <c r="E531" t="str">
        <f>IF(logistics_classification_dataset__1[[#This Row],[Shipment_Type]]="Kara","Road",IF(logistics_classification_dataset__1[[#This Row],[Shipment_Type]]="Hava","Air",IF(logistics_classification_dataset__1[[#This Row],[Shipment_Type]]="Deniz","Sea")))</f>
        <v>Air</v>
      </c>
      <c r="F531">
        <v>1823.48</v>
      </c>
      <c r="G531" t="str">
        <f t="shared" si="16"/>
        <v>1501–2000</v>
      </c>
      <c r="H531" s="1">
        <v>1732.9</v>
      </c>
      <c r="I531" t="str">
        <f t="shared" si="17"/>
        <v>1501–2000</v>
      </c>
      <c r="J531" t="s">
        <v>11</v>
      </c>
      <c r="K531" t="str">
        <f>IF(logistics_classification_dataset__1[[#This Row],[Customer_Segment]]="Bireysel","Individual",IF(logistics_classification_dataset__1[[#This Row],[Customer_Segment]]="Kurumsal","Corporate"))</f>
        <v>Individual</v>
      </c>
      <c r="L531">
        <v>1</v>
      </c>
    </row>
    <row r="532" spans="1:12" x14ac:dyDescent="0.35">
      <c r="A532">
        <v>531</v>
      </c>
      <c r="B532" t="s">
        <v>8</v>
      </c>
      <c r="C532" t="s">
        <v>9</v>
      </c>
      <c r="D532" t="s">
        <v>19</v>
      </c>
      <c r="E532" t="str">
        <f>IF(logistics_classification_dataset__1[[#This Row],[Shipment_Type]]="Kara","Road",IF(logistics_classification_dataset__1[[#This Row],[Shipment_Type]]="Hava","Air",IF(logistics_classification_dataset__1[[#This Row],[Shipment_Type]]="Deniz","Sea")))</f>
        <v>Sea</v>
      </c>
      <c r="F532">
        <v>63.86</v>
      </c>
      <c r="G532" t="str">
        <f t="shared" si="16"/>
        <v>0–500</v>
      </c>
      <c r="H532" s="1">
        <v>343.8</v>
      </c>
      <c r="I532" t="str">
        <f t="shared" si="17"/>
        <v>0–500</v>
      </c>
      <c r="J532" t="s">
        <v>11</v>
      </c>
      <c r="K532" t="str">
        <f>IF(logistics_classification_dataset__1[[#This Row],[Customer_Segment]]="Bireysel","Individual",IF(logistics_classification_dataset__1[[#This Row],[Customer_Segment]]="Kurumsal","Corporate"))</f>
        <v>Individual</v>
      </c>
      <c r="L532">
        <v>1</v>
      </c>
    </row>
    <row r="533" spans="1:12" x14ac:dyDescent="0.35">
      <c r="A533">
        <v>532</v>
      </c>
      <c r="B533" t="s">
        <v>17</v>
      </c>
      <c r="C533" t="s">
        <v>18</v>
      </c>
      <c r="D533" t="s">
        <v>15</v>
      </c>
      <c r="E533" t="str">
        <f>IF(logistics_classification_dataset__1[[#This Row],[Shipment_Type]]="Kara","Road",IF(logistics_classification_dataset__1[[#This Row],[Shipment_Type]]="Hava","Air",IF(logistics_classification_dataset__1[[#This Row],[Shipment_Type]]="Deniz","Sea")))</f>
        <v>Air</v>
      </c>
      <c r="F533">
        <v>715.16</v>
      </c>
      <c r="G533" t="str">
        <f t="shared" si="16"/>
        <v>501–1000</v>
      </c>
      <c r="H533" s="1">
        <v>1710.6</v>
      </c>
      <c r="I533" t="str">
        <f t="shared" si="17"/>
        <v>1501–2000</v>
      </c>
      <c r="J533" t="s">
        <v>11</v>
      </c>
      <c r="K533" t="str">
        <f>IF(logistics_classification_dataset__1[[#This Row],[Customer_Segment]]="Bireysel","Individual",IF(logistics_classification_dataset__1[[#This Row],[Customer_Segment]]="Kurumsal","Corporate"))</f>
        <v>Individual</v>
      </c>
      <c r="L533">
        <v>1</v>
      </c>
    </row>
    <row r="534" spans="1:12" x14ac:dyDescent="0.35">
      <c r="A534">
        <v>533</v>
      </c>
      <c r="B534" t="s">
        <v>16</v>
      </c>
      <c r="C534" t="s">
        <v>20</v>
      </c>
      <c r="D534" t="s">
        <v>10</v>
      </c>
      <c r="E534" t="str">
        <f>IF(logistics_classification_dataset__1[[#This Row],[Shipment_Type]]="Kara","Road",IF(logistics_classification_dataset__1[[#This Row],[Shipment_Type]]="Hava","Air",IF(logistics_classification_dataset__1[[#This Row],[Shipment_Type]]="Deniz","Sea")))</f>
        <v>Road</v>
      </c>
      <c r="F534">
        <v>36.549999999999997</v>
      </c>
      <c r="G534" t="str">
        <f t="shared" si="16"/>
        <v>0–500</v>
      </c>
      <c r="H534" s="1">
        <v>1983.3</v>
      </c>
      <c r="I534" t="str">
        <f t="shared" si="17"/>
        <v>1501–2000</v>
      </c>
      <c r="J534" t="s">
        <v>11</v>
      </c>
      <c r="K534" t="str">
        <f>IF(logistics_classification_dataset__1[[#This Row],[Customer_Segment]]="Bireysel","Individual",IF(logistics_classification_dataset__1[[#This Row],[Customer_Segment]]="Kurumsal","Corporate"))</f>
        <v>Individual</v>
      </c>
      <c r="L534">
        <v>1</v>
      </c>
    </row>
    <row r="535" spans="1:12" x14ac:dyDescent="0.35">
      <c r="A535">
        <v>534</v>
      </c>
      <c r="B535" t="s">
        <v>18</v>
      </c>
      <c r="C535" t="s">
        <v>8</v>
      </c>
      <c r="D535" t="s">
        <v>15</v>
      </c>
      <c r="E535" t="str">
        <f>IF(logistics_classification_dataset__1[[#This Row],[Shipment_Type]]="Kara","Road",IF(logistics_classification_dataset__1[[#This Row],[Shipment_Type]]="Hava","Air",IF(logistics_classification_dataset__1[[#This Row],[Shipment_Type]]="Deniz","Sea")))</f>
        <v>Air</v>
      </c>
      <c r="F535">
        <v>15.89</v>
      </c>
      <c r="G535" t="str">
        <f t="shared" si="16"/>
        <v>0–500</v>
      </c>
      <c r="H535" s="1">
        <v>1467.3</v>
      </c>
      <c r="I535" t="str">
        <f t="shared" si="17"/>
        <v>1001–1500</v>
      </c>
      <c r="J535" t="s">
        <v>11</v>
      </c>
      <c r="K535" t="str">
        <f>IF(logistics_classification_dataset__1[[#This Row],[Customer_Segment]]="Bireysel","Individual",IF(logistics_classification_dataset__1[[#This Row],[Customer_Segment]]="Kurumsal","Corporate"))</f>
        <v>Individual</v>
      </c>
      <c r="L535">
        <v>1</v>
      </c>
    </row>
    <row r="536" spans="1:12" x14ac:dyDescent="0.35">
      <c r="A536">
        <v>535</v>
      </c>
      <c r="B536" t="s">
        <v>8</v>
      </c>
      <c r="C536" t="s">
        <v>22</v>
      </c>
      <c r="D536" t="s">
        <v>10</v>
      </c>
      <c r="E536" t="str">
        <f>IF(logistics_classification_dataset__1[[#This Row],[Shipment_Type]]="Kara","Road",IF(logistics_classification_dataset__1[[#This Row],[Shipment_Type]]="Hava","Air",IF(logistics_classification_dataset__1[[#This Row],[Shipment_Type]]="Deniz","Sea")))</f>
        <v>Road</v>
      </c>
      <c r="F536">
        <v>1822.78</v>
      </c>
      <c r="G536" t="str">
        <f t="shared" si="16"/>
        <v>1501–2000</v>
      </c>
      <c r="H536" s="1">
        <v>1580.3</v>
      </c>
      <c r="I536" t="str">
        <f t="shared" si="17"/>
        <v>1501–2000</v>
      </c>
      <c r="J536" t="s">
        <v>11</v>
      </c>
      <c r="K536" t="str">
        <f>IF(logistics_classification_dataset__1[[#This Row],[Customer_Segment]]="Bireysel","Individual",IF(logistics_classification_dataset__1[[#This Row],[Customer_Segment]]="Kurumsal","Corporate"))</f>
        <v>Individual</v>
      </c>
      <c r="L536">
        <v>1</v>
      </c>
    </row>
    <row r="537" spans="1:12" x14ac:dyDescent="0.35">
      <c r="A537">
        <v>536</v>
      </c>
      <c r="B537" t="s">
        <v>22</v>
      </c>
      <c r="C537" t="s">
        <v>12</v>
      </c>
      <c r="D537" t="s">
        <v>19</v>
      </c>
      <c r="E537" t="str">
        <f>IF(logistics_classification_dataset__1[[#This Row],[Shipment_Type]]="Kara","Road",IF(logistics_classification_dataset__1[[#This Row],[Shipment_Type]]="Hava","Air",IF(logistics_classification_dataset__1[[#This Row],[Shipment_Type]]="Deniz","Sea")))</f>
        <v>Sea</v>
      </c>
      <c r="F537">
        <v>712.95</v>
      </c>
      <c r="G537" t="str">
        <f t="shared" si="16"/>
        <v>501–1000</v>
      </c>
      <c r="H537" s="1">
        <v>1989.1</v>
      </c>
      <c r="I537" t="str">
        <f t="shared" si="17"/>
        <v>1501–2000</v>
      </c>
      <c r="J537" t="s">
        <v>11</v>
      </c>
      <c r="K537" t="str">
        <f>IF(logistics_classification_dataset__1[[#This Row],[Customer_Segment]]="Bireysel","Individual",IF(logistics_classification_dataset__1[[#This Row],[Customer_Segment]]="Kurumsal","Corporate"))</f>
        <v>Individual</v>
      </c>
      <c r="L537">
        <v>1</v>
      </c>
    </row>
    <row r="538" spans="1:12" x14ac:dyDescent="0.35">
      <c r="A538">
        <v>537</v>
      </c>
      <c r="B538" t="s">
        <v>20</v>
      </c>
      <c r="C538" t="s">
        <v>22</v>
      </c>
      <c r="D538" t="s">
        <v>10</v>
      </c>
      <c r="E538" t="str">
        <f>IF(logistics_classification_dataset__1[[#This Row],[Shipment_Type]]="Kara","Road",IF(logistics_classification_dataset__1[[#This Row],[Shipment_Type]]="Hava","Air",IF(logistics_classification_dataset__1[[#This Row],[Shipment_Type]]="Deniz","Sea")))</f>
        <v>Road</v>
      </c>
      <c r="F538">
        <v>852.42</v>
      </c>
      <c r="G538" t="str">
        <f t="shared" si="16"/>
        <v>501–1000</v>
      </c>
      <c r="H538" s="1">
        <v>1230.7</v>
      </c>
      <c r="I538" t="str">
        <f t="shared" si="17"/>
        <v>1001–1500</v>
      </c>
      <c r="J538" t="s">
        <v>11</v>
      </c>
      <c r="K538" t="str">
        <f>IF(logistics_classification_dataset__1[[#This Row],[Customer_Segment]]="Bireysel","Individual",IF(logistics_classification_dataset__1[[#This Row],[Customer_Segment]]="Kurumsal","Corporate"))</f>
        <v>Individual</v>
      </c>
      <c r="L538">
        <v>1</v>
      </c>
    </row>
    <row r="539" spans="1:12" x14ac:dyDescent="0.35">
      <c r="A539">
        <v>538</v>
      </c>
      <c r="B539" t="s">
        <v>17</v>
      </c>
      <c r="C539" t="s">
        <v>12</v>
      </c>
      <c r="D539" t="s">
        <v>10</v>
      </c>
      <c r="E539" t="str">
        <f>IF(logistics_classification_dataset__1[[#This Row],[Shipment_Type]]="Kara","Road",IF(logistics_classification_dataset__1[[#This Row],[Shipment_Type]]="Hava","Air",IF(logistics_classification_dataset__1[[#This Row],[Shipment_Type]]="Deniz","Sea")))</f>
        <v>Road</v>
      </c>
      <c r="F539">
        <v>434.61</v>
      </c>
      <c r="G539" t="str">
        <f t="shared" si="16"/>
        <v>0–500</v>
      </c>
      <c r="H539" s="1">
        <v>650.4</v>
      </c>
      <c r="I539" t="str">
        <f t="shared" si="17"/>
        <v>501–1000</v>
      </c>
      <c r="J539" t="s">
        <v>11</v>
      </c>
      <c r="K539" t="str">
        <f>IF(logistics_classification_dataset__1[[#This Row],[Customer_Segment]]="Bireysel","Individual",IF(logistics_classification_dataset__1[[#This Row],[Customer_Segment]]="Kurumsal","Corporate"))</f>
        <v>Individual</v>
      </c>
      <c r="L539">
        <v>0</v>
      </c>
    </row>
    <row r="540" spans="1:12" x14ac:dyDescent="0.35">
      <c r="A540">
        <v>539</v>
      </c>
      <c r="B540" t="s">
        <v>17</v>
      </c>
      <c r="C540" t="s">
        <v>21</v>
      </c>
      <c r="D540" t="s">
        <v>15</v>
      </c>
      <c r="E540" t="str">
        <f>IF(logistics_classification_dataset__1[[#This Row],[Shipment_Type]]="Kara","Road",IF(logistics_classification_dataset__1[[#This Row],[Shipment_Type]]="Hava","Air",IF(logistics_classification_dataset__1[[#This Row],[Shipment_Type]]="Deniz","Sea")))</f>
        <v>Air</v>
      </c>
      <c r="F540">
        <v>1196.21</v>
      </c>
      <c r="G540" t="str">
        <f t="shared" si="16"/>
        <v>1001–1500</v>
      </c>
      <c r="H540" s="1">
        <v>1683.2</v>
      </c>
      <c r="I540" t="str">
        <f t="shared" si="17"/>
        <v>1501–2000</v>
      </c>
      <c r="J540" t="s">
        <v>11</v>
      </c>
      <c r="K540" t="str">
        <f>IF(logistics_classification_dataset__1[[#This Row],[Customer_Segment]]="Bireysel","Individual",IF(logistics_classification_dataset__1[[#This Row],[Customer_Segment]]="Kurumsal","Corporate"))</f>
        <v>Individual</v>
      </c>
      <c r="L540">
        <v>1</v>
      </c>
    </row>
    <row r="541" spans="1:12" x14ac:dyDescent="0.35">
      <c r="A541">
        <v>540</v>
      </c>
      <c r="B541" t="s">
        <v>9</v>
      </c>
      <c r="C541" t="s">
        <v>18</v>
      </c>
      <c r="D541" t="s">
        <v>10</v>
      </c>
      <c r="E541" t="str">
        <f>IF(logistics_classification_dataset__1[[#This Row],[Shipment_Type]]="Kara","Road",IF(logistics_classification_dataset__1[[#This Row],[Shipment_Type]]="Hava","Air",IF(logistics_classification_dataset__1[[#This Row],[Shipment_Type]]="Deniz","Sea")))</f>
        <v>Road</v>
      </c>
      <c r="F541">
        <v>1191.6300000000001</v>
      </c>
      <c r="G541" t="str">
        <f t="shared" si="16"/>
        <v>1001–1500</v>
      </c>
      <c r="H541" s="1">
        <v>1248.2</v>
      </c>
      <c r="I541" t="str">
        <f t="shared" si="17"/>
        <v>1001–1500</v>
      </c>
      <c r="J541" t="s">
        <v>11</v>
      </c>
      <c r="K541" t="str">
        <f>IF(logistics_classification_dataset__1[[#This Row],[Customer_Segment]]="Bireysel","Individual",IF(logistics_classification_dataset__1[[#This Row],[Customer_Segment]]="Kurumsal","Corporate"))</f>
        <v>Individual</v>
      </c>
      <c r="L541">
        <v>1</v>
      </c>
    </row>
    <row r="542" spans="1:12" x14ac:dyDescent="0.35">
      <c r="A542">
        <v>541</v>
      </c>
      <c r="B542" t="s">
        <v>21</v>
      </c>
      <c r="C542" t="s">
        <v>9</v>
      </c>
      <c r="D542" t="s">
        <v>19</v>
      </c>
      <c r="E542" t="str">
        <f>IF(logistics_classification_dataset__1[[#This Row],[Shipment_Type]]="Kara","Road",IF(logistics_classification_dataset__1[[#This Row],[Shipment_Type]]="Hava","Air",IF(logistics_classification_dataset__1[[#This Row],[Shipment_Type]]="Deniz","Sea")))</f>
        <v>Sea</v>
      </c>
      <c r="F542">
        <v>747.54</v>
      </c>
      <c r="G542" t="str">
        <f t="shared" si="16"/>
        <v>501–1000</v>
      </c>
      <c r="H542" s="1">
        <v>1183.3</v>
      </c>
      <c r="I542" t="str">
        <f t="shared" si="17"/>
        <v>1001–1500</v>
      </c>
      <c r="J542" t="s">
        <v>11</v>
      </c>
      <c r="K542" t="str">
        <f>IF(logistics_classification_dataset__1[[#This Row],[Customer_Segment]]="Bireysel","Individual",IF(logistics_classification_dataset__1[[#This Row],[Customer_Segment]]="Kurumsal","Corporate"))</f>
        <v>Individual</v>
      </c>
      <c r="L542">
        <v>1</v>
      </c>
    </row>
    <row r="543" spans="1:12" x14ac:dyDescent="0.35">
      <c r="A543">
        <v>542</v>
      </c>
      <c r="B543" t="s">
        <v>8</v>
      </c>
      <c r="C543" t="s">
        <v>13</v>
      </c>
      <c r="D543" t="s">
        <v>19</v>
      </c>
      <c r="E543" t="str">
        <f>IF(logistics_classification_dataset__1[[#This Row],[Shipment_Type]]="Kara","Road",IF(logistics_classification_dataset__1[[#This Row],[Shipment_Type]]="Hava","Air",IF(logistics_classification_dataset__1[[#This Row],[Shipment_Type]]="Deniz","Sea")))</f>
        <v>Sea</v>
      </c>
      <c r="F543">
        <v>66.94</v>
      </c>
      <c r="G543" t="str">
        <f t="shared" si="16"/>
        <v>0–500</v>
      </c>
      <c r="H543" s="1">
        <v>544.6</v>
      </c>
      <c r="I543" t="str">
        <f t="shared" si="17"/>
        <v>501–1000</v>
      </c>
      <c r="J543" t="s">
        <v>11</v>
      </c>
      <c r="K543" t="str">
        <f>IF(logistics_classification_dataset__1[[#This Row],[Customer_Segment]]="Bireysel","Individual",IF(logistics_classification_dataset__1[[#This Row],[Customer_Segment]]="Kurumsal","Corporate"))</f>
        <v>Individual</v>
      </c>
      <c r="L543">
        <v>1</v>
      </c>
    </row>
    <row r="544" spans="1:12" x14ac:dyDescent="0.35">
      <c r="A544">
        <v>543</v>
      </c>
      <c r="B544" t="s">
        <v>13</v>
      </c>
      <c r="C544" t="s">
        <v>16</v>
      </c>
      <c r="D544" t="s">
        <v>15</v>
      </c>
      <c r="E544" t="str">
        <f>IF(logistics_classification_dataset__1[[#This Row],[Shipment_Type]]="Kara","Road",IF(logistics_classification_dataset__1[[#This Row],[Shipment_Type]]="Hava","Air",IF(logistics_classification_dataset__1[[#This Row],[Shipment_Type]]="Deniz","Sea")))</f>
        <v>Air</v>
      </c>
      <c r="F544">
        <v>177.05</v>
      </c>
      <c r="G544" t="str">
        <f t="shared" si="16"/>
        <v>0–500</v>
      </c>
      <c r="H544" s="1">
        <v>1524.9</v>
      </c>
      <c r="I544" t="str">
        <f t="shared" si="17"/>
        <v>1501–2000</v>
      </c>
      <c r="J544" t="s">
        <v>11</v>
      </c>
      <c r="K544" t="str">
        <f>IF(logistics_classification_dataset__1[[#This Row],[Customer_Segment]]="Bireysel","Individual",IF(logistics_classification_dataset__1[[#This Row],[Customer_Segment]]="Kurumsal","Corporate"))</f>
        <v>Individual</v>
      </c>
      <c r="L544">
        <v>1</v>
      </c>
    </row>
    <row r="545" spans="1:12" x14ac:dyDescent="0.35">
      <c r="A545">
        <v>544</v>
      </c>
      <c r="B545" t="s">
        <v>17</v>
      </c>
      <c r="C545" t="s">
        <v>16</v>
      </c>
      <c r="D545" t="s">
        <v>10</v>
      </c>
      <c r="E545" t="str">
        <f>IF(logistics_classification_dataset__1[[#This Row],[Shipment_Type]]="Kara","Road",IF(logistics_classification_dataset__1[[#This Row],[Shipment_Type]]="Hava","Air",IF(logistics_classification_dataset__1[[#This Row],[Shipment_Type]]="Deniz","Sea")))</f>
        <v>Road</v>
      </c>
      <c r="F545">
        <v>769.65</v>
      </c>
      <c r="G545" t="str">
        <f t="shared" si="16"/>
        <v>501–1000</v>
      </c>
      <c r="H545" s="1">
        <v>209.3</v>
      </c>
      <c r="I545" t="str">
        <f t="shared" si="17"/>
        <v>0–500</v>
      </c>
      <c r="J545" t="s">
        <v>11</v>
      </c>
      <c r="K545" t="str">
        <f>IF(logistics_classification_dataset__1[[#This Row],[Customer_Segment]]="Bireysel","Individual",IF(logistics_classification_dataset__1[[#This Row],[Customer_Segment]]="Kurumsal","Corporate"))</f>
        <v>Individual</v>
      </c>
      <c r="L545">
        <v>1</v>
      </c>
    </row>
    <row r="546" spans="1:12" x14ac:dyDescent="0.35">
      <c r="A546">
        <v>545</v>
      </c>
      <c r="B546" t="s">
        <v>20</v>
      </c>
      <c r="C546" t="s">
        <v>12</v>
      </c>
      <c r="D546" t="s">
        <v>15</v>
      </c>
      <c r="E546" t="str">
        <f>IF(logistics_classification_dataset__1[[#This Row],[Shipment_Type]]="Kara","Road",IF(logistics_classification_dataset__1[[#This Row],[Shipment_Type]]="Hava","Air",IF(logistics_classification_dataset__1[[#This Row],[Shipment_Type]]="Deniz","Sea")))</f>
        <v>Air</v>
      </c>
      <c r="F546">
        <v>989.53</v>
      </c>
      <c r="G546" t="str">
        <f t="shared" si="16"/>
        <v>501–1000</v>
      </c>
      <c r="H546" s="1">
        <v>1852.4</v>
      </c>
      <c r="I546" t="str">
        <f t="shared" si="17"/>
        <v>1501–2000</v>
      </c>
      <c r="J546" t="s">
        <v>14</v>
      </c>
      <c r="K546" t="str">
        <f>IF(logistics_classification_dataset__1[[#This Row],[Customer_Segment]]="Bireysel","Individual",IF(logistics_classification_dataset__1[[#This Row],[Customer_Segment]]="Kurumsal","Corporate"))</f>
        <v>Corporate</v>
      </c>
      <c r="L546">
        <v>0</v>
      </c>
    </row>
    <row r="547" spans="1:12" x14ac:dyDescent="0.35">
      <c r="A547">
        <v>546</v>
      </c>
      <c r="B547" t="s">
        <v>22</v>
      </c>
      <c r="C547" t="s">
        <v>21</v>
      </c>
      <c r="D547" t="s">
        <v>10</v>
      </c>
      <c r="E547" t="str">
        <f>IF(logistics_classification_dataset__1[[#This Row],[Shipment_Type]]="Kara","Road",IF(logistics_classification_dataset__1[[#This Row],[Shipment_Type]]="Hava","Air",IF(logistics_classification_dataset__1[[#This Row],[Shipment_Type]]="Deniz","Sea")))</f>
        <v>Road</v>
      </c>
      <c r="F547">
        <v>570.19000000000005</v>
      </c>
      <c r="G547" t="str">
        <f t="shared" si="16"/>
        <v>501–1000</v>
      </c>
      <c r="H547" s="1">
        <v>685.4</v>
      </c>
      <c r="I547" t="str">
        <f t="shared" si="17"/>
        <v>501–1000</v>
      </c>
      <c r="J547" t="s">
        <v>14</v>
      </c>
      <c r="K547" t="str">
        <f>IF(logistics_classification_dataset__1[[#This Row],[Customer_Segment]]="Bireysel","Individual",IF(logistics_classification_dataset__1[[#This Row],[Customer_Segment]]="Kurumsal","Corporate"))</f>
        <v>Corporate</v>
      </c>
      <c r="L547">
        <v>1</v>
      </c>
    </row>
    <row r="548" spans="1:12" x14ac:dyDescent="0.35">
      <c r="A548">
        <v>547</v>
      </c>
      <c r="B548" t="s">
        <v>17</v>
      </c>
      <c r="C548" t="s">
        <v>18</v>
      </c>
      <c r="D548" t="s">
        <v>10</v>
      </c>
      <c r="E548" t="str">
        <f>IF(logistics_classification_dataset__1[[#This Row],[Shipment_Type]]="Kara","Road",IF(logistics_classification_dataset__1[[#This Row],[Shipment_Type]]="Hava","Air",IF(logistics_classification_dataset__1[[#This Row],[Shipment_Type]]="Deniz","Sea")))</f>
        <v>Road</v>
      </c>
      <c r="F548">
        <v>1574.61</v>
      </c>
      <c r="G548" t="str">
        <f t="shared" si="16"/>
        <v>1501–2000</v>
      </c>
      <c r="H548" s="1">
        <v>299.2</v>
      </c>
      <c r="I548" t="str">
        <f t="shared" si="17"/>
        <v>0–500</v>
      </c>
      <c r="J548" t="s">
        <v>14</v>
      </c>
      <c r="K548" t="str">
        <f>IF(logistics_classification_dataset__1[[#This Row],[Customer_Segment]]="Bireysel","Individual",IF(logistics_classification_dataset__1[[#This Row],[Customer_Segment]]="Kurumsal","Corporate"))</f>
        <v>Corporate</v>
      </c>
      <c r="L548">
        <v>1</v>
      </c>
    </row>
    <row r="549" spans="1:12" x14ac:dyDescent="0.35">
      <c r="A549">
        <v>548</v>
      </c>
      <c r="B549" t="s">
        <v>22</v>
      </c>
      <c r="C549" t="s">
        <v>20</v>
      </c>
      <c r="D549" t="s">
        <v>15</v>
      </c>
      <c r="E549" t="str">
        <f>IF(logistics_classification_dataset__1[[#This Row],[Shipment_Type]]="Kara","Road",IF(logistics_classification_dataset__1[[#This Row],[Shipment_Type]]="Hava","Air",IF(logistics_classification_dataset__1[[#This Row],[Shipment_Type]]="Deniz","Sea")))</f>
        <v>Air</v>
      </c>
      <c r="F549">
        <v>797.91</v>
      </c>
      <c r="G549" t="str">
        <f t="shared" si="16"/>
        <v>501–1000</v>
      </c>
      <c r="H549" s="1">
        <v>912.6</v>
      </c>
      <c r="I549" t="str">
        <f t="shared" si="17"/>
        <v>501–1000</v>
      </c>
      <c r="J549" t="s">
        <v>11</v>
      </c>
      <c r="K549" t="str">
        <f>IF(logistics_classification_dataset__1[[#This Row],[Customer_Segment]]="Bireysel","Individual",IF(logistics_classification_dataset__1[[#This Row],[Customer_Segment]]="Kurumsal","Corporate"))</f>
        <v>Individual</v>
      </c>
      <c r="L549">
        <v>1</v>
      </c>
    </row>
    <row r="550" spans="1:12" x14ac:dyDescent="0.35">
      <c r="A550">
        <v>549</v>
      </c>
      <c r="B550" t="s">
        <v>16</v>
      </c>
      <c r="C550" t="s">
        <v>20</v>
      </c>
      <c r="D550" t="s">
        <v>10</v>
      </c>
      <c r="E550" t="str">
        <f>IF(logistics_classification_dataset__1[[#This Row],[Shipment_Type]]="Kara","Road",IF(logistics_classification_dataset__1[[#This Row],[Shipment_Type]]="Hava","Air",IF(logistics_classification_dataset__1[[#This Row],[Shipment_Type]]="Deniz","Sea")))</f>
        <v>Road</v>
      </c>
      <c r="F550">
        <v>1029.6500000000001</v>
      </c>
      <c r="G550" t="str">
        <f t="shared" si="16"/>
        <v>1001–1500</v>
      </c>
      <c r="H550" s="1">
        <v>132.80000000000001</v>
      </c>
      <c r="I550" t="str">
        <f t="shared" si="17"/>
        <v>0–500</v>
      </c>
      <c r="J550" t="s">
        <v>14</v>
      </c>
      <c r="K550" t="str">
        <f>IF(logistics_classification_dataset__1[[#This Row],[Customer_Segment]]="Bireysel","Individual",IF(logistics_classification_dataset__1[[#This Row],[Customer_Segment]]="Kurumsal","Corporate"))</f>
        <v>Corporate</v>
      </c>
      <c r="L550">
        <v>1</v>
      </c>
    </row>
    <row r="551" spans="1:12" x14ac:dyDescent="0.35">
      <c r="A551">
        <v>550</v>
      </c>
      <c r="B551" t="s">
        <v>16</v>
      </c>
      <c r="C551" t="s">
        <v>18</v>
      </c>
      <c r="D551" t="s">
        <v>10</v>
      </c>
      <c r="E551" t="str">
        <f>IF(logistics_classification_dataset__1[[#This Row],[Shipment_Type]]="Kara","Road",IF(logistics_classification_dataset__1[[#This Row],[Shipment_Type]]="Hava","Air",IF(logistics_classification_dataset__1[[#This Row],[Shipment_Type]]="Deniz","Sea")))</f>
        <v>Road</v>
      </c>
      <c r="F551">
        <v>510.45</v>
      </c>
      <c r="G551" t="str">
        <f t="shared" si="16"/>
        <v>501–1000</v>
      </c>
      <c r="H551" s="1">
        <v>1385</v>
      </c>
      <c r="I551" t="str">
        <f t="shared" si="17"/>
        <v>1001–1500</v>
      </c>
      <c r="J551" t="s">
        <v>11</v>
      </c>
      <c r="K551" t="str">
        <f>IF(logistics_classification_dataset__1[[#This Row],[Customer_Segment]]="Bireysel","Individual",IF(logistics_classification_dataset__1[[#This Row],[Customer_Segment]]="Kurumsal","Corporate"))</f>
        <v>Individual</v>
      </c>
      <c r="L551">
        <v>1</v>
      </c>
    </row>
    <row r="552" spans="1:12" x14ac:dyDescent="0.35">
      <c r="A552">
        <v>551</v>
      </c>
      <c r="B552" t="s">
        <v>21</v>
      </c>
      <c r="C552" t="s">
        <v>9</v>
      </c>
      <c r="D552" t="s">
        <v>19</v>
      </c>
      <c r="E552" t="str">
        <f>IF(logistics_classification_dataset__1[[#This Row],[Shipment_Type]]="Kara","Road",IF(logistics_classification_dataset__1[[#This Row],[Shipment_Type]]="Hava","Air",IF(logistics_classification_dataset__1[[#This Row],[Shipment_Type]]="Deniz","Sea")))</f>
        <v>Sea</v>
      </c>
      <c r="F552">
        <v>1975.38</v>
      </c>
      <c r="G552" t="str">
        <f t="shared" si="16"/>
        <v>1501–2000</v>
      </c>
      <c r="H552" s="1">
        <v>1810.3</v>
      </c>
      <c r="I552" t="str">
        <f t="shared" si="17"/>
        <v>1501–2000</v>
      </c>
      <c r="J552" t="s">
        <v>11</v>
      </c>
      <c r="K552" t="str">
        <f>IF(logistics_classification_dataset__1[[#This Row],[Customer_Segment]]="Bireysel","Individual",IF(logistics_classification_dataset__1[[#This Row],[Customer_Segment]]="Kurumsal","Corporate"))</f>
        <v>Individual</v>
      </c>
      <c r="L552">
        <v>1</v>
      </c>
    </row>
    <row r="553" spans="1:12" x14ac:dyDescent="0.35">
      <c r="A553">
        <v>552</v>
      </c>
      <c r="B553" t="s">
        <v>18</v>
      </c>
      <c r="C553" t="s">
        <v>17</v>
      </c>
      <c r="D553" t="s">
        <v>10</v>
      </c>
      <c r="E553" t="str">
        <f>IF(logistics_classification_dataset__1[[#This Row],[Shipment_Type]]="Kara","Road",IF(logistics_classification_dataset__1[[#This Row],[Shipment_Type]]="Hava","Air",IF(logistics_classification_dataset__1[[#This Row],[Shipment_Type]]="Deniz","Sea")))</f>
        <v>Road</v>
      </c>
      <c r="F553">
        <v>586.53</v>
      </c>
      <c r="G553" t="str">
        <f t="shared" si="16"/>
        <v>501–1000</v>
      </c>
      <c r="H553" s="1">
        <v>1682.7</v>
      </c>
      <c r="I553" t="str">
        <f t="shared" si="17"/>
        <v>1501–2000</v>
      </c>
      <c r="J553" t="s">
        <v>11</v>
      </c>
      <c r="K553" t="str">
        <f>IF(logistics_classification_dataset__1[[#This Row],[Customer_Segment]]="Bireysel","Individual",IF(logistics_classification_dataset__1[[#This Row],[Customer_Segment]]="Kurumsal","Corporate"))</f>
        <v>Individual</v>
      </c>
      <c r="L553">
        <v>1</v>
      </c>
    </row>
    <row r="554" spans="1:12" x14ac:dyDescent="0.35">
      <c r="A554">
        <v>553</v>
      </c>
      <c r="B554" t="s">
        <v>13</v>
      </c>
      <c r="C554" t="s">
        <v>21</v>
      </c>
      <c r="D554" t="s">
        <v>10</v>
      </c>
      <c r="E554" t="str">
        <f>IF(logistics_classification_dataset__1[[#This Row],[Shipment_Type]]="Kara","Road",IF(logistics_classification_dataset__1[[#This Row],[Shipment_Type]]="Hava","Air",IF(logistics_classification_dataset__1[[#This Row],[Shipment_Type]]="Deniz","Sea")))</f>
        <v>Road</v>
      </c>
      <c r="F554">
        <v>1542.63</v>
      </c>
      <c r="G554" t="str">
        <f t="shared" si="16"/>
        <v>1501–2000</v>
      </c>
      <c r="H554" s="1">
        <v>298.39999999999998</v>
      </c>
      <c r="I554" t="str">
        <f t="shared" si="17"/>
        <v>0–500</v>
      </c>
      <c r="J554" t="s">
        <v>14</v>
      </c>
      <c r="K554" t="str">
        <f>IF(logistics_classification_dataset__1[[#This Row],[Customer_Segment]]="Bireysel","Individual",IF(logistics_classification_dataset__1[[#This Row],[Customer_Segment]]="Kurumsal","Corporate"))</f>
        <v>Corporate</v>
      </c>
      <c r="L554">
        <v>1</v>
      </c>
    </row>
    <row r="555" spans="1:12" x14ac:dyDescent="0.35">
      <c r="A555">
        <v>554</v>
      </c>
      <c r="B555" t="s">
        <v>9</v>
      </c>
      <c r="C555" t="s">
        <v>22</v>
      </c>
      <c r="D555" t="s">
        <v>19</v>
      </c>
      <c r="E555" t="str">
        <f>IF(logistics_classification_dataset__1[[#This Row],[Shipment_Type]]="Kara","Road",IF(logistics_classification_dataset__1[[#This Row],[Shipment_Type]]="Hava","Air",IF(logistics_classification_dataset__1[[#This Row],[Shipment_Type]]="Deniz","Sea")))</f>
        <v>Sea</v>
      </c>
      <c r="F555">
        <v>857.85</v>
      </c>
      <c r="G555" t="str">
        <f t="shared" si="16"/>
        <v>501–1000</v>
      </c>
      <c r="H555" s="1">
        <v>296.2</v>
      </c>
      <c r="I555" t="str">
        <f t="shared" si="17"/>
        <v>0–500</v>
      </c>
      <c r="J555" t="s">
        <v>11</v>
      </c>
      <c r="K555" t="str">
        <f>IF(logistics_classification_dataset__1[[#This Row],[Customer_Segment]]="Bireysel","Individual",IF(logistics_classification_dataset__1[[#This Row],[Customer_Segment]]="Kurumsal","Corporate"))</f>
        <v>Individual</v>
      </c>
      <c r="L555">
        <v>1</v>
      </c>
    </row>
    <row r="556" spans="1:12" x14ac:dyDescent="0.35">
      <c r="A556">
        <v>555</v>
      </c>
      <c r="B556" t="s">
        <v>21</v>
      </c>
      <c r="C556" t="s">
        <v>18</v>
      </c>
      <c r="D556" t="s">
        <v>10</v>
      </c>
      <c r="E556" t="str">
        <f>IF(logistics_classification_dataset__1[[#This Row],[Shipment_Type]]="Kara","Road",IF(logistics_classification_dataset__1[[#This Row],[Shipment_Type]]="Hava","Air",IF(logistics_classification_dataset__1[[#This Row],[Shipment_Type]]="Deniz","Sea")))</f>
        <v>Road</v>
      </c>
      <c r="F556">
        <v>41.64</v>
      </c>
      <c r="G556" t="str">
        <f t="shared" si="16"/>
        <v>0–500</v>
      </c>
      <c r="H556" s="1">
        <v>1636.2</v>
      </c>
      <c r="I556" t="str">
        <f t="shared" si="17"/>
        <v>1501–2000</v>
      </c>
      <c r="J556" t="s">
        <v>11</v>
      </c>
      <c r="K556" t="str">
        <f>IF(logistics_classification_dataset__1[[#This Row],[Customer_Segment]]="Bireysel","Individual",IF(logistics_classification_dataset__1[[#This Row],[Customer_Segment]]="Kurumsal","Corporate"))</f>
        <v>Individual</v>
      </c>
      <c r="L556">
        <v>0</v>
      </c>
    </row>
    <row r="557" spans="1:12" x14ac:dyDescent="0.35">
      <c r="A557">
        <v>556</v>
      </c>
      <c r="B557" t="s">
        <v>12</v>
      </c>
      <c r="C557" t="s">
        <v>9</v>
      </c>
      <c r="D557" t="s">
        <v>15</v>
      </c>
      <c r="E557" t="str">
        <f>IF(logistics_classification_dataset__1[[#This Row],[Shipment_Type]]="Kara","Road",IF(logistics_classification_dataset__1[[#This Row],[Shipment_Type]]="Hava","Air",IF(logistics_classification_dataset__1[[#This Row],[Shipment_Type]]="Deniz","Sea")))</f>
        <v>Air</v>
      </c>
      <c r="F557">
        <v>1600.44</v>
      </c>
      <c r="G557" t="str">
        <f t="shared" si="16"/>
        <v>1501–2000</v>
      </c>
      <c r="H557" s="1">
        <v>1852.3</v>
      </c>
      <c r="I557" t="str">
        <f t="shared" si="17"/>
        <v>1501–2000</v>
      </c>
      <c r="J557" t="s">
        <v>14</v>
      </c>
      <c r="K557" t="str">
        <f>IF(logistics_classification_dataset__1[[#This Row],[Customer_Segment]]="Bireysel","Individual",IF(logistics_classification_dataset__1[[#This Row],[Customer_Segment]]="Kurumsal","Corporate"))</f>
        <v>Corporate</v>
      </c>
      <c r="L557">
        <v>1</v>
      </c>
    </row>
    <row r="558" spans="1:12" x14ac:dyDescent="0.35">
      <c r="A558">
        <v>557</v>
      </c>
      <c r="B558" t="s">
        <v>9</v>
      </c>
      <c r="C558" t="s">
        <v>20</v>
      </c>
      <c r="D558" t="s">
        <v>19</v>
      </c>
      <c r="E558" t="str">
        <f>IF(logistics_classification_dataset__1[[#This Row],[Shipment_Type]]="Kara","Road",IF(logistics_classification_dataset__1[[#This Row],[Shipment_Type]]="Hava","Air",IF(logistics_classification_dataset__1[[#This Row],[Shipment_Type]]="Deniz","Sea")))</f>
        <v>Sea</v>
      </c>
      <c r="F558">
        <v>670.55</v>
      </c>
      <c r="G558" t="str">
        <f t="shared" si="16"/>
        <v>501–1000</v>
      </c>
      <c r="H558" s="1">
        <v>948.3</v>
      </c>
      <c r="I558" t="str">
        <f t="shared" si="17"/>
        <v>501–1000</v>
      </c>
      <c r="J558" t="s">
        <v>14</v>
      </c>
      <c r="K558" t="str">
        <f>IF(logistics_classification_dataset__1[[#This Row],[Customer_Segment]]="Bireysel","Individual",IF(logistics_classification_dataset__1[[#This Row],[Customer_Segment]]="Kurumsal","Corporate"))</f>
        <v>Corporate</v>
      </c>
      <c r="L558">
        <v>1</v>
      </c>
    </row>
    <row r="559" spans="1:12" x14ac:dyDescent="0.35">
      <c r="A559">
        <v>558</v>
      </c>
      <c r="B559" t="s">
        <v>8</v>
      </c>
      <c r="C559" t="s">
        <v>13</v>
      </c>
      <c r="D559" t="s">
        <v>19</v>
      </c>
      <c r="E559" t="str">
        <f>IF(logistics_classification_dataset__1[[#This Row],[Shipment_Type]]="Kara","Road",IF(logistics_classification_dataset__1[[#This Row],[Shipment_Type]]="Hava","Air",IF(logistics_classification_dataset__1[[#This Row],[Shipment_Type]]="Deniz","Sea")))</f>
        <v>Sea</v>
      </c>
      <c r="F559">
        <v>1731.06</v>
      </c>
      <c r="G559" t="str">
        <f t="shared" si="16"/>
        <v>1501–2000</v>
      </c>
      <c r="H559" s="1">
        <v>1023</v>
      </c>
      <c r="I559" t="str">
        <f t="shared" si="17"/>
        <v>1001–1500</v>
      </c>
      <c r="J559" t="s">
        <v>11</v>
      </c>
      <c r="K559" t="str">
        <f>IF(logistics_classification_dataset__1[[#This Row],[Customer_Segment]]="Bireysel","Individual",IF(logistics_classification_dataset__1[[#This Row],[Customer_Segment]]="Kurumsal","Corporate"))</f>
        <v>Individual</v>
      </c>
      <c r="L559">
        <v>1</v>
      </c>
    </row>
    <row r="560" spans="1:12" x14ac:dyDescent="0.35">
      <c r="A560">
        <v>559</v>
      </c>
      <c r="B560" t="s">
        <v>20</v>
      </c>
      <c r="C560" t="s">
        <v>22</v>
      </c>
      <c r="D560" t="s">
        <v>15</v>
      </c>
      <c r="E560" t="str">
        <f>IF(logistics_classification_dataset__1[[#This Row],[Shipment_Type]]="Kara","Road",IF(logistics_classification_dataset__1[[#This Row],[Shipment_Type]]="Hava","Air",IF(logistics_classification_dataset__1[[#This Row],[Shipment_Type]]="Deniz","Sea")))</f>
        <v>Air</v>
      </c>
      <c r="F560">
        <v>1830.94</v>
      </c>
      <c r="G560" t="str">
        <f t="shared" si="16"/>
        <v>1501–2000</v>
      </c>
      <c r="H560" s="1">
        <v>670.6</v>
      </c>
      <c r="I560" t="str">
        <f t="shared" si="17"/>
        <v>501–1000</v>
      </c>
      <c r="J560" t="s">
        <v>11</v>
      </c>
      <c r="K560" t="str">
        <f>IF(logistics_classification_dataset__1[[#This Row],[Customer_Segment]]="Bireysel","Individual",IF(logistics_classification_dataset__1[[#This Row],[Customer_Segment]]="Kurumsal","Corporate"))</f>
        <v>Individual</v>
      </c>
      <c r="L560">
        <v>1</v>
      </c>
    </row>
    <row r="561" spans="1:12" x14ac:dyDescent="0.35">
      <c r="A561">
        <v>560</v>
      </c>
      <c r="B561" t="s">
        <v>12</v>
      </c>
      <c r="C561" t="s">
        <v>13</v>
      </c>
      <c r="D561" t="s">
        <v>10</v>
      </c>
      <c r="E561" t="str">
        <f>IF(logistics_classification_dataset__1[[#This Row],[Shipment_Type]]="Kara","Road",IF(logistics_classification_dataset__1[[#This Row],[Shipment_Type]]="Hava","Air",IF(logistics_classification_dataset__1[[#This Row],[Shipment_Type]]="Deniz","Sea")))</f>
        <v>Road</v>
      </c>
      <c r="F561">
        <v>1720.35</v>
      </c>
      <c r="G561" t="str">
        <f t="shared" si="16"/>
        <v>1501–2000</v>
      </c>
      <c r="H561" s="1">
        <v>1793.8</v>
      </c>
      <c r="I561" t="str">
        <f t="shared" si="17"/>
        <v>1501–2000</v>
      </c>
      <c r="J561" t="s">
        <v>11</v>
      </c>
      <c r="K561" t="str">
        <f>IF(logistics_classification_dataset__1[[#This Row],[Customer_Segment]]="Bireysel","Individual",IF(logistics_classification_dataset__1[[#This Row],[Customer_Segment]]="Kurumsal","Corporate"))</f>
        <v>Individual</v>
      </c>
      <c r="L561">
        <v>1</v>
      </c>
    </row>
    <row r="562" spans="1:12" x14ac:dyDescent="0.35">
      <c r="A562">
        <v>561</v>
      </c>
      <c r="B562" t="s">
        <v>12</v>
      </c>
      <c r="C562" t="s">
        <v>20</v>
      </c>
      <c r="D562" t="s">
        <v>10</v>
      </c>
      <c r="E562" t="str">
        <f>IF(logistics_classification_dataset__1[[#This Row],[Shipment_Type]]="Kara","Road",IF(logistics_classification_dataset__1[[#This Row],[Shipment_Type]]="Hava","Air",IF(logistics_classification_dataset__1[[#This Row],[Shipment_Type]]="Deniz","Sea")))</f>
        <v>Road</v>
      </c>
      <c r="F562">
        <v>74.84</v>
      </c>
      <c r="G562" t="str">
        <f t="shared" si="16"/>
        <v>0–500</v>
      </c>
      <c r="H562" s="1">
        <v>1307.5999999999999</v>
      </c>
      <c r="I562" t="str">
        <f t="shared" si="17"/>
        <v>1001–1500</v>
      </c>
      <c r="J562" t="s">
        <v>14</v>
      </c>
      <c r="K562" t="str">
        <f>IF(logistics_classification_dataset__1[[#This Row],[Customer_Segment]]="Bireysel","Individual",IF(logistics_classification_dataset__1[[#This Row],[Customer_Segment]]="Kurumsal","Corporate"))</f>
        <v>Corporate</v>
      </c>
      <c r="L562">
        <v>1</v>
      </c>
    </row>
    <row r="563" spans="1:12" x14ac:dyDescent="0.35">
      <c r="A563">
        <v>562</v>
      </c>
      <c r="B563" t="s">
        <v>21</v>
      </c>
      <c r="C563" t="s">
        <v>9</v>
      </c>
      <c r="D563" t="s">
        <v>15</v>
      </c>
      <c r="E563" t="str">
        <f>IF(logistics_classification_dataset__1[[#This Row],[Shipment_Type]]="Kara","Road",IF(logistics_classification_dataset__1[[#This Row],[Shipment_Type]]="Hava","Air",IF(logistics_classification_dataset__1[[#This Row],[Shipment_Type]]="Deniz","Sea")))</f>
        <v>Air</v>
      </c>
      <c r="F563">
        <v>1575.81</v>
      </c>
      <c r="G563" t="str">
        <f t="shared" si="16"/>
        <v>1501–2000</v>
      </c>
      <c r="H563" s="1">
        <v>612.1</v>
      </c>
      <c r="I563" t="str">
        <f t="shared" si="17"/>
        <v>501–1000</v>
      </c>
      <c r="J563" t="s">
        <v>11</v>
      </c>
      <c r="K563" t="str">
        <f>IF(logistics_classification_dataset__1[[#This Row],[Customer_Segment]]="Bireysel","Individual",IF(logistics_classification_dataset__1[[#This Row],[Customer_Segment]]="Kurumsal","Corporate"))</f>
        <v>Individual</v>
      </c>
      <c r="L563">
        <v>0</v>
      </c>
    </row>
    <row r="564" spans="1:12" x14ac:dyDescent="0.35">
      <c r="A564">
        <v>563</v>
      </c>
      <c r="B564" t="s">
        <v>18</v>
      </c>
      <c r="C564" t="s">
        <v>16</v>
      </c>
      <c r="D564" t="s">
        <v>15</v>
      </c>
      <c r="E564" t="str">
        <f>IF(logistics_classification_dataset__1[[#This Row],[Shipment_Type]]="Kara","Road",IF(logistics_classification_dataset__1[[#This Row],[Shipment_Type]]="Hava","Air",IF(logistics_classification_dataset__1[[#This Row],[Shipment_Type]]="Deniz","Sea")))</f>
        <v>Air</v>
      </c>
      <c r="F564">
        <v>825.62</v>
      </c>
      <c r="G564" t="str">
        <f t="shared" si="16"/>
        <v>501–1000</v>
      </c>
      <c r="H564" s="1">
        <v>632.6</v>
      </c>
      <c r="I564" t="str">
        <f t="shared" si="17"/>
        <v>501–1000</v>
      </c>
      <c r="J564" t="s">
        <v>11</v>
      </c>
      <c r="K564" t="str">
        <f>IF(logistics_classification_dataset__1[[#This Row],[Customer_Segment]]="Bireysel","Individual",IF(logistics_classification_dataset__1[[#This Row],[Customer_Segment]]="Kurumsal","Corporate"))</f>
        <v>Individual</v>
      </c>
      <c r="L564">
        <v>1</v>
      </c>
    </row>
    <row r="565" spans="1:12" x14ac:dyDescent="0.35">
      <c r="A565">
        <v>564</v>
      </c>
      <c r="B565" t="s">
        <v>21</v>
      </c>
      <c r="C565" t="s">
        <v>13</v>
      </c>
      <c r="D565" t="s">
        <v>10</v>
      </c>
      <c r="E565" t="str">
        <f>IF(logistics_classification_dataset__1[[#This Row],[Shipment_Type]]="Kara","Road",IF(logistics_classification_dataset__1[[#This Row],[Shipment_Type]]="Hava","Air",IF(logistics_classification_dataset__1[[#This Row],[Shipment_Type]]="Deniz","Sea")))</f>
        <v>Road</v>
      </c>
      <c r="F565">
        <v>1748.08</v>
      </c>
      <c r="G565" t="str">
        <f t="shared" si="16"/>
        <v>1501–2000</v>
      </c>
      <c r="H565" s="1">
        <v>1787.8</v>
      </c>
      <c r="I565" t="str">
        <f t="shared" si="17"/>
        <v>1501–2000</v>
      </c>
      <c r="J565" t="s">
        <v>14</v>
      </c>
      <c r="K565" t="str">
        <f>IF(logistics_classification_dataset__1[[#This Row],[Customer_Segment]]="Bireysel","Individual",IF(logistics_classification_dataset__1[[#This Row],[Customer_Segment]]="Kurumsal","Corporate"))</f>
        <v>Corporate</v>
      </c>
      <c r="L565">
        <v>1</v>
      </c>
    </row>
    <row r="566" spans="1:12" x14ac:dyDescent="0.35">
      <c r="A566">
        <v>565</v>
      </c>
      <c r="B566" t="s">
        <v>8</v>
      </c>
      <c r="C566" t="s">
        <v>22</v>
      </c>
      <c r="D566" t="s">
        <v>10</v>
      </c>
      <c r="E566" t="str">
        <f>IF(logistics_classification_dataset__1[[#This Row],[Shipment_Type]]="Kara","Road",IF(logistics_classification_dataset__1[[#This Row],[Shipment_Type]]="Hava","Air",IF(logistics_classification_dataset__1[[#This Row],[Shipment_Type]]="Deniz","Sea")))</f>
        <v>Road</v>
      </c>
      <c r="F566">
        <v>1277.72</v>
      </c>
      <c r="G566" t="str">
        <f t="shared" si="16"/>
        <v>1001–1500</v>
      </c>
      <c r="H566" s="1">
        <v>76.599999999999994</v>
      </c>
      <c r="I566" t="str">
        <f t="shared" si="17"/>
        <v>0–500</v>
      </c>
      <c r="J566" t="s">
        <v>11</v>
      </c>
      <c r="K566" t="str">
        <f>IF(logistics_classification_dataset__1[[#This Row],[Customer_Segment]]="Bireysel","Individual",IF(logistics_classification_dataset__1[[#This Row],[Customer_Segment]]="Kurumsal","Corporate"))</f>
        <v>Individual</v>
      </c>
      <c r="L566">
        <v>1</v>
      </c>
    </row>
    <row r="567" spans="1:12" x14ac:dyDescent="0.35">
      <c r="A567">
        <v>566</v>
      </c>
      <c r="B567" t="s">
        <v>17</v>
      </c>
      <c r="C567" t="s">
        <v>12</v>
      </c>
      <c r="D567" t="s">
        <v>10</v>
      </c>
      <c r="E567" t="str">
        <f>IF(logistics_classification_dataset__1[[#This Row],[Shipment_Type]]="Kara","Road",IF(logistics_classification_dataset__1[[#This Row],[Shipment_Type]]="Hava","Air",IF(logistics_classification_dataset__1[[#This Row],[Shipment_Type]]="Deniz","Sea")))</f>
        <v>Road</v>
      </c>
      <c r="F567">
        <v>1668.12</v>
      </c>
      <c r="G567" t="str">
        <f t="shared" si="16"/>
        <v>1501–2000</v>
      </c>
      <c r="H567" s="1">
        <v>679.3</v>
      </c>
      <c r="I567" t="str">
        <f t="shared" si="17"/>
        <v>501–1000</v>
      </c>
      <c r="J567" t="s">
        <v>11</v>
      </c>
      <c r="K567" t="str">
        <f>IF(logistics_classification_dataset__1[[#This Row],[Customer_Segment]]="Bireysel","Individual",IF(logistics_classification_dataset__1[[#This Row],[Customer_Segment]]="Kurumsal","Corporate"))</f>
        <v>Individual</v>
      </c>
      <c r="L567">
        <v>1</v>
      </c>
    </row>
    <row r="568" spans="1:12" x14ac:dyDescent="0.35">
      <c r="A568">
        <v>567</v>
      </c>
      <c r="B568" t="s">
        <v>17</v>
      </c>
      <c r="C568" t="s">
        <v>8</v>
      </c>
      <c r="D568" t="s">
        <v>10</v>
      </c>
      <c r="E568" t="str">
        <f>IF(logistics_classification_dataset__1[[#This Row],[Shipment_Type]]="Kara","Road",IF(logistics_classification_dataset__1[[#This Row],[Shipment_Type]]="Hava","Air",IF(logistics_classification_dataset__1[[#This Row],[Shipment_Type]]="Deniz","Sea")))</f>
        <v>Road</v>
      </c>
      <c r="F568">
        <v>1001.37</v>
      </c>
      <c r="G568" t="str">
        <f t="shared" si="16"/>
        <v>1001–1500</v>
      </c>
      <c r="H568" s="1">
        <v>1131</v>
      </c>
      <c r="I568" t="str">
        <f t="shared" si="17"/>
        <v>1001–1500</v>
      </c>
      <c r="J568" t="s">
        <v>11</v>
      </c>
      <c r="K568" t="str">
        <f>IF(logistics_classification_dataset__1[[#This Row],[Customer_Segment]]="Bireysel","Individual",IF(logistics_classification_dataset__1[[#This Row],[Customer_Segment]]="Kurumsal","Corporate"))</f>
        <v>Individual</v>
      </c>
      <c r="L568">
        <v>1</v>
      </c>
    </row>
    <row r="569" spans="1:12" x14ac:dyDescent="0.35">
      <c r="A569">
        <v>568</v>
      </c>
      <c r="B569" t="s">
        <v>18</v>
      </c>
      <c r="C569" t="s">
        <v>17</v>
      </c>
      <c r="D569" t="s">
        <v>15</v>
      </c>
      <c r="E569" t="str">
        <f>IF(logistics_classification_dataset__1[[#This Row],[Shipment_Type]]="Kara","Road",IF(logistics_classification_dataset__1[[#This Row],[Shipment_Type]]="Hava","Air",IF(logistics_classification_dataset__1[[#This Row],[Shipment_Type]]="Deniz","Sea")))</f>
        <v>Air</v>
      </c>
      <c r="F569">
        <v>1072.3800000000001</v>
      </c>
      <c r="G569" t="str">
        <f t="shared" si="16"/>
        <v>1001–1500</v>
      </c>
      <c r="H569" s="1">
        <v>339</v>
      </c>
      <c r="I569" t="str">
        <f t="shared" si="17"/>
        <v>0–500</v>
      </c>
      <c r="J569" t="s">
        <v>11</v>
      </c>
      <c r="K569" t="str">
        <f>IF(logistics_classification_dataset__1[[#This Row],[Customer_Segment]]="Bireysel","Individual",IF(logistics_classification_dataset__1[[#This Row],[Customer_Segment]]="Kurumsal","Corporate"))</f>
        <v>Individual</v>
      </c>
      <c r="L569">
        <v>1</v>
      </c>
    </row>
    <row r="570" spans="1:12" x14ac:dyDescent="0.35">
      <c r="A570">
        <v>569</v>
      </c>
      <c r="B570" t="s">
        <v>8</v>
      </c>
      <c r="C570" t="s">
        <v>16</v>
      </c>
      <c r="D570" t="s">
        <v>10</v>
      </c>
      <c r="E570" t="str">
        <f>IF(logistics_classification_dataset__1[[#This Row],[Shipment_Type]]="Kara","Road",IF(logistics_classification_dataset__1[[#This Row],[Shipment_Type]]="Hava","Air",IF(logistics_classification_dataset__1[[#This Row],[Shipment_Type]]="Deniz","Sea")))</f>
        <v>Road</v>
      </c>
      <c r="F570">
        <v>293.05</v>
      </c>
      <c r="G570" t="str">
        <f t="shared" si="16"/>
        <v>0–500</v>
      </c>
      <c r="H570" s="1">
        <v>229.6</v>
      </c>
      <c r="I570" t="str">
        <f t="shared" si="17"/>
        <v>0–500</v>
      </c>
      <c r="J570" t="s">
        <v>11</v>
      </c>
      <c r="K570" t="str">
        <f>IF(logistics_classification_dataset__1[[#This Row],[Customer_Segment]]="Bireysel","Individual",IF(logistics_classification_dataset__1[[#This Row],[Customer_Segment]]="Kurumsal","Corporate"))</f>
        <v>Individual</v>
      </c>
      <c r="L570">
        <v>1</v>
      </c>
    </row>
    <row r="571" spans="1:12" x14ac:dyDescent="0.35">
      <c r="A571">
        <v>570</v>
      </c>
      <c r="B571" t="s">
        <v>18</v>
      </c>
      <c r="C571" t="s">
        <v>13</v>
      </c>
      <c r="D571" t="s">
        <v>19</v>
      </c>
      <c r="E571" t="str">
        <f>IF(logistics_classification_dataset__1[[#This Row],[Shipment_Type]]="Kara","Road",IF(logistics_classification_dataset__1[[#This Row],[Shipment_Type]]="Hava","Air",IF(logistics_classification_dataset__1[[#This Row],[Shipment_Type]]="Deniz","Sea")))</f>
        <v>Sea</v>
      </c>
      <c r="F571">
        <v>1569.05</v>
      </c>
      <c r="G571" t="str">
        <f t="shared" si="16"/>
        <v>1501–2000</v>
      </c>
      <c r="H571" s="1">
        <v>1639.8</v>
      </c>
      <c r="I571" t="str">
        <f t="shared" si="17"/>
        <v>1501–2000</v>
      </c>
      <c r="J571" t="s">
        <v>11</v>
      </c>
      <c r="K571" t="str">
        <f>IF(logistics_classification_dataset__1[[#This Row],[Customer_Segment]]="Bireysel","Individual",IF(logistics_classification_dataset__1[[#This Row],[Customer_Segment]]="Kurumsal","Corporate"))</f>
        <v>Individual</v>
      </c>
      <c r="L571">
        <v>1</v>
      </c>
    </row>
    <row r="572" spans="1:12" x14ac:dyDescent="0.35">
      <c r="A572">
        <v>571</v>
      </c>
      <c r="B572" t="s">
        <v>22</v>
      </c>
      <c r="C572" t="s">
        <v>17</v>
      </c>
      <c r="D572" t="s">
        <v>15</v>
      </c>
      <c r="E572" t="str">
        <f>IF(logistics_classification_dataset__1[[#This Row],[Shipment_Type]]="Kara","Road",IF(logistics_classification_dataset__1[[#This Row],[Shipment_Type]]="Hava","Air",IF(logistics_classification_dataset__1[[#This Row],[Shipment_Type]]="Deniz","Sea")))</f>
        <v>Air</v>
      </c>
      <c r="F572">
        <v>841.68</v>
      </c>
      <c r="G572" t="str">
        <f t="shared" si="16"/>
        <v>501–1000</v>
      </c>
      <c r="H572" s="1">
        <v>1794.1</v>
      </c>
      <c r="I572" t="str">
        <f t="shared" si="17"/>
        <v>1501–2000</v>
      </c>
      <c r="J572" t="s">
        <v>11</v>
      </c>
      <c r="K572" t="str">
        <f>IF(logistics_classification_dataset__1[[#This Row],[Customer_Segment]]="Bireysel","Individual",IF(logistics_classification_dataset__1[[#This Row],[Customer_Segment]]="Kurumsal","Corporate"))</f>
        <v>Individual</v>
      </c>
      <c r="L572">
        <v>0</v>
      </c>
    </row>
    <row r="573" spans="1:12" x14ac:dyDescent="0.35">
      <c r="A573">
        <v>572</v>
      </c>
      <c r="B573" t="s">
        <v>17</v>
      </c>
      <c r="C573" t="s">
        <v>18</v>
      </c>
      <c r="D573" t="s">
        <v>10</v>
      </c>
      <c r="E573" t="str">
        <f>IF(logistics_classification_dataset__1[[#This Row],[Shipment_Type]]="Kara","Road",IF(logistics_classification_dataset__1[[#This Row],[Shipment_Type]]="Hava","Air",IF(logistics_classification_dataset__1[[#This Row],[Shipment_Type]]="Deniz","Sea")))</f>
        <v>Road</v>
      </c>
      <c r="F573">
        <v>1002.66</v>
      </c>
      <c r="G573" t="str">
        <f t="shared" si="16"/>
        <v>1001–1500</v>
      </c>
      <c r="H573" s="1">
        <v>1656</v>
      </c>
      <c r="I573" t="str">
        <f t="shared" si="17"/>
        <v>1501–2000</v>
      </c>
      <c r="J573" t="s">
        <v>11</v>
      </c>
      <c r="K573" t="str">
        <f>IF(logistics_classification_dataset__1[[#This Row],[Customer_Segment]]="Bireysel","Individual",IF(logistics_classification_dataset__1[[#This Row],[Customer_Segment]]="Kurumsal","Corporate"))</f>
        <v>Individual</v>
      </c>
      <c r="L573">
        <v>1</v>
      </c>
    </row>
    <row r="574" spans="1:12" x14ac:dyDescent="0.35">
      <c r="A574">
        <v>573</v>
      </c>
      <c r="B574" t="s">
        <v>12</v>
      </c>
      <c r="C574" t="s">
        <v>13</v>
      </c>
      <c r="D574" t="s">
        <v>15</v>
      </c>
      <c r="E574" t="str">
        <f>IF(logistics_classification_dataset__1[[#This Row],[Shipment_Type]]="Kara","Road",IF(logistics_classification_dataset__1[[#This Row],[Shipment_Type]]="Hava","Air",IF(logistics_classification_dataset__1[[#This Row],[Shipment_Type]]="Deniz","Sea")))</f>
        <v>Air</v>
      </c>
      <c r="F574">
        <v>1571.27</v>
      </c>
      <c r="G574" t="str">
        <f t="shared" si="16"/>
        <v>1501–2000</v>
      </c>
      <c r="H574" s="1">
        <v>1802.6</v>
      </c>
      <c r="I574" t="str">
        <f t="shared" si="17"/>
        <v>1501–2000</v>
      </c>
      <c r="J574" t="s">
        <v>11</v>
      </c>
      <c r="K574" t="str">
        <f>IF(logistics_classification_dataset__1[[#This Row],[Customer_Segment]]="Bireysel","Individual",IF(logistics_classification_dataset__1[[#This Row],[Customer_Segment]]="Kurumsal","Corporate"))</f>
        <v>Individual</v>
      </c>
      <c r="L574">
        <v>1</v>
      </c>
    </row>
    <row r="575" spans="1:12" x14ac:dyDescent="0.35">
      <c r="A575">
        <v>574</v>
      </c>
      <c r="B575" t="s">
        <v>13</v>
      </c>
      <c r="C575" t="s">
        <v>20</v>
      </c>
      <c r="D575" t="s">
        <v>10</v>
      </c>
      <c r="E575" t="str">
        <f>IF(logistics_classification_dataset__1[[#This Row],[Shipment_Type]]="Kara","Road",IF(logistics_classification_dataset__1[[#This Row],[Shipment_Type]]="Hava","Air",IF(logistics_classification_dataset__1[[#This Row],[Shipment_Type]]="Deniz","Sea")))</f>
        <v>Road</v>
      </c>
      <c r="F575">
        <v>119.97</v>
      </c>
      <c r="G575" t="str">
        <f t="shared" si="16"/>
        <v>0–500</v>
      </c>
      <c r="H575" s="1">
        <v>1128.5999999999999</v>
      </c>
      <c r="I575" t="str">
        <f t="shared" si="17"/>
        <v>1001–1500</v>
      </c>
      <c r="J575" t="s">
        <v>14</v>
      </c>
      <c r="K575" t="str">
        <f>IF(logistics_classification_dataset__1[[#This Row],[Customer_Segment]]="Bireysel","Individual",IF(logistics_classification_dataset__1[[#This Row],[Customer_Segment]]="Kurumsal","Corporate"))</f>
        <v>Corporate</v>
      </c>
      <c r="L575">
        <v>0</v>
      </c>
    </row>
    <row r="576" spans="1:12" x14ac:dyDescent="0.35">
      <c r="A576">
        <v>575</v>
      </c>
      <c r="B576" t="s">
        <v>20</v>
      </c>
      <c r="C576" t="s">
        <v>8</v>
      </c>
      <c r="D576" t="s">
        <v>10</v>
      </c>
      <c r="E576" t="str">
        <f>IF(logistics_classification_dataset__1[[#This Row],[Shipment_Type]]="Kara","Road",IF(logistics_classification_dataset__1[[#This Row],[Shipment_Type]]="Hava","Air",IF(logistics_classification_dataset__1[[#This Row],[Shipment_Type]]="Deniz","Sea")))</f>
        <v>Road</v>
      </c>
      <c r="F576">
        <v>406.19</v>
      </c>
      <c r="G576" t="str">
        <f t="shared" si="16"/>
        <v>0–500</v>
      </c>
      <c r="H576" s="1">
        <v>1633.9</v>
      </c>
      <c r="I576" t="str">
        <f t="shared" si="17"/>
        <v>1501–2000</v>
      </c>
      <c r="J576" t="s">
        <v>14</v>
      </c>
      <c r="K576" t="str">
        <f>IF(logistics_classification_dataset__1[[#This Row],[Customer_Segment]]="Bireysel","Individual",IF(logistics_classification_dataset__1[[#This Row],[Customer_Segment]]="Kurumsal","Corporate"))</f>
        <v>Corporate</v>
      </c>
      <c r="L576">
        <v>1</v>
      </c>
    </row>
    <row r="577" spans="1:12" x14ac:dyDescent="0.35">
      <c r="A577">
        <v>576</v>
      </c>
      <c r="B577" t="s">
        <v>8</v>
      </c>
      <c r="C577" t="s">
        <v>9</v>
      </c>
      <c r="D577" t="s">
        <v>15</v>
      </c>
      <c r="E577" t="str">
        <f>IF(logistics_classification_dataset__1[[#This Row],[Shipment_Type]]="Kara","Road",IF(logistics_classification_dataset__1[[#This Row],[Shipment_Type]]="Hava","Air",IF(logistics_classification_dataset__1[[#This Row],[Shipment_Type]]="Deniz","Sea")))</f>
        <v>Air</v>
      </c>
      <c r="F577">
        <v>1182.51</v>
      </c>
      <c r="G577" t="str">
        <f t="shared" si="16"/>
        <v>1001–1500</v>
      </c>
      <c r="H577" s="1">
        <v>798.9</v>
      </c>
      <c r="I577" t="str">
        <f t="shared" si="17"/>
        <v>501–1000</v>
      </c>
      <c r="J577" t="s">
        <v>11</v>
      </c>
      <c r="K577" t="str">
        <f>IF(logistics_classification_dataset__1[[#This Row],[Customer_Segment]]="Bireysel","Individual",IF(logistics_classification_dataset__1[[#This Row],[Customer_Segment]]="Kurumsal","Corporate"))</f>
        <v>Individual</v>
      </c>
      <c r="L577">
        <v>1</v>
      </c>
    </row>
    <row r="578" spans="1:12" x14ac:dyDescent="0.35">
      <c r="A578">
        <v>577</v>
      </c>
      <c r="B578" t="s">
        <v>9</v>
      </c>
      <c r="C578" t="s">
        <v>12</v>
      </c>
      <c r="D578" t="s">
        <v>15</v>
      </c>
      <c r="E578" t="str">
        <f>IF(logistics_classification_dataset__1[[#This Row],[Shipment_Type]]="Kara","Road",IF(logistics_classification_dataset__1[[#This Row],[Shipment_Type]]="Hava","Air",IF(logistics_classification_dataset__1[[#This Row],[Shipment_Type]]="Deniz","Sea")))</f>
        <v>Air</v>
      </c>
      <c r="F578">
        <v>818.23</v>
      </c>
      <c r="G578" t="str">
        <f t="shared" ref="G578:G641" si="18">IF(F578&lt;=500,"0–500",IF(F578&lt;=1000,"501–1000",IF(F578&lt;=1500,"1001–1500","1501–2000")))</f>
        <v>501–1000</v>
      </c>
      <c r="H578" s="1">
        <v>1349.2</v>
      </c>
      <c r="I578" t="str">
        <f t="shared" ref="I578:I641" si="19">IF(H578&lt;=500,"0–500",IF(H578&lt;=1000,"501–1000",IF(H578&lt;=1500,"1001–1500",IF(H578&lt;=2000,"1501–2000","&gt;2000"))))</f>
        <v>1001–1500</v>
      </c>
      <c r="J578" t="s">
        <v>11</v>
      </c>
      <c r="K578" t="str">
        <f>IF(logistics_classification_dataset__1[[#This Row],[Customer_Segment]]="Bireysel","Individual",IF(logistics_classification_dataset__1[[#This Row],[Customer_Segment]]="Kurumsal","Corporate"))</f>
        <v>Individual</v>
      </c>
      <c r="L578">
        <v>0</v>
      </c>
    </row>
    <row r="579" spans="1:12" x14ac:dyDescent="0.35">
      <c r="A579">
        <v>578</v>
      </c>
      <c r="B579" t="s">
        <v>18</v>
      </c>
      <c r="C579" t="s">
        <v>12</v>
      </c>
      <c r="D579" t="s">
        <v>15</v>
      </c>
      <c r="E579" t="str">
        <f>IF(logistics_classification_dataset__1[[#This Row],[Shipment_Type]]="Kara","Road",IF(logistics_classification_dataset__1[[#This Row],[Shipment_Type]]="Hava","Air",IF(logistics_classification_dataset__1[[#This Row],[Shipment_Type]]="Deniz","Sea")))</f>
        <v>Air</v>
      </c>
      <c r="F579">
        <v>94.17</v>
      </c>
      <c r="G579" t="str">
        <f t="shared" si="18"/>
        <v>0–500</v>
      </c>
      <c r="H579" s="1">
        <v>1978.2</v>
      </c>
      <c r="I579" t="str">
        <f t="shared" si="19"/>
        <v>1501–2000</v>
      </c>
      <c r="J579" t="s">
        <v>11</v>
      </c>
      <c r="K579" t="str">
        <f>IF(logistics_classification_dataset__1[[#This Row],[Customer_Segment]]="Bireysel","Individual",IF(logistics_classification_dataset__1[[#This Row],[Customer_Segment]]="Kurumsal","Corporate"))</f>
        <v>Individual</v>
      </c>
      <c r="L579">
        <v>1</v>
      </c>
    </row>
    <row r="580" spans="1:12" x14ac:dyDescent="0.35">
      <c r="A580">
        <v>579</v>
      </c>
      <c r="B580" t="s">
        <v>20</v>
      </c>
      <c r="C580" t="s">
        <v>13</v>
      </c>
      <c r="D580" t="s">
        <v>10</v>
      </c>
      <c r="E580" t="str">
        <f>IF(logistics_classification_dataset__1[[#This Row],[Shipment_Type]]="Kara","Road",IF(logistics_classification_dataset__1[[#This Row],[Shipment_Type]]="Hava","Air",IF(logistics_classification_dataset__1[[#This Row],[Shipment_Type]]="Deniz","Sea")))</f>
        <v>Road</v>
      </c>
      <c r="F580">
        <v>61.48</v>
      </c>
      <c r="G580" t="str">
        <f t="shared" si="18"/>
        <v>0–500</v>
      </c>
      <c r="H580" s="1">
        <v>490.2</v>
      </c>
      <c r="I580" t="str">
        <f t="shared" si="19"/>
        <v>0–500</v>
      </c>
      <c r="J580" t="s">
        <v>14</v>
      </c>
      <c r="K580" t="str">
        <f>IF(logistics_classification_dataset__1[[#This Row],[Customer_Segment]]="Bireysel","Individual",IF(logistics_classification_dataset__1[[#This Row],[Customer_Segment]]="Kurumsal","Corporate"))</f>
        <v>Corporate</v>
      </c>
      <c r="L580">
        <v>1</v>
      </c>
    </row>
    <row r="581" spans="1:12" x14ac:dyDescent="0.35">
      <c r="A581">
        <v>580</v>
      </c>
      <c r="B581" t="s">
        <v>9</v>
      </c>
      <c r="C581" t="s">
        <v>21</v>
      </c>
      <c r="D581" t="s">
        <v>10</v>
      </c>
      <c r="E581" t="str">
        <f>IF(logistics_classification_dataset__1[[#This Row],[Shipment_Type]]="Kara","Road",IF(logistics_classification_dataset__1[[#This Row],[Shipment_Type]]="Hava","Air",IF(logistics_classification_dataset__1[[#This Row],[Shipment_Type]]="Deniz","Sea")))</f>
        <v>Road</v>
      </c>
      <c r="F581">
        <v>424.01</v>
      </c>
      <c r="G581" t="str">
        <f t="shared" si="18"/>
        <v>0–500</v>
      </c>
      <c r="H581" s="1">
        <v>810.3</v>
      </c>
      <c r="I581" t="str">
        <f t="shared" si="19"/>
        <v>501–1000</v>
      </c>
      <c r="J581" t="s">
        <v>11</v>
      </c>
      <c r="K581" t="str">
        <f>IF(logistics_classification_dataset__1[[#This Row],[Customer_Segment]]="Bireysel","Individual",IF(logistics_classification_dataset__1[[#This Row],[Customer_Segment]]="Kurumsal","Corporate"))</f>
        <v>Individual</v>
      </c>
      <c r="L581">
        <v>1</v>
      </c>
    </row>
    <row r="582" spans="1:12" x14ac:dyDescent="0.35">
      <c r="A582">
        <v>581</v>
      </c>
      <c r="B582" t="s">
        <v>20</v>
      </c>
      <c r="C582" t="s">
        <v>22</v>
      </c>
      <c r="D582" t="s">
        <v>15</v>
      </c>
      <c r="E582" t="str">
        <f>IF(logistics_classification_dataset__1[[#This Row],[Shipment_Type]]="Kara","Road",IF(logistics_classification_dataset__1[[#This Row],[Shipment_Type]]="Hava","Air",IF(logistics_classification_dataset__1[[#This Row],[Shipment_Type]]="Deniz","Sea")))</f>
        <v>Air</v>
      </c>
      <c r="F582">
        <v>565.66999999999996</v>
      </c>
      <c r="G582" t="str">
        <f t="shared" si="18"/>
        <v>501–1000</v>
      </c>
      <c r="H582" s="1">
        <v>986.1</v>
      </c>
      <c r="I582" t="str">
        <f t="shared" si="19"/>
        <v>501–1000</v>
      </c>
      <c r="J582" t="s">
        <v>14</v>
      </c>
      <c r="K582" t="str">
        <f>IF(logistics_classification_dataset__1[[#This Row],[Customer_Segment]]="Bireysel","Individual",IF(logistics_classification_dataset__1[[#This Row],[Customer_Segment]]="Kurumsal","Corporate"))</f>
        <v>Corporate</v>
      </c>
      <c r="L582">
        <v>1</v>
      </c>
    </row>
    <row r="583" spans="1:12" x14ac:dyDescent="0.35">
      <c r="A583">
        <v>582</v>
      </c>
      <c r="B583" t="s">
        <v>13</v>
      </c>
      <c r="C583" t="s">
        <v>21</v>
      </c>
      <c r="D583" t="s">
        <v>10</v>
      </c>
      <c r="E583" t="str">
        <f>IF(logistics_classification_dataset__1[[#This Row],[Shipment_Type]]="Kara","Road",IF(logistics_classification_dataset__1[[#This Row],[Shipment_Type]]="Hava","Air",IF(logistics_classification_dataset__1[[#This Row],[Shipment_Type]]="Deniz","Sea")))</f>
        <v>Road</v>
      </c>
      <c r="F583">
        <v>1427.36</v>
      </c>
      <c r="G583" t="str">
        <f t="shared" si="18"/>
        <v>1001–1500</v>
      </c>
      <c r="H583" s="1">
        <v>319.10000000000002</v>
      </c>
      <c r="I583" t="str">
        <f t="shared" si="19"/>
        <v>0–500</v>
      </c>
      <c r="J583" t="s">
        <v>11</v>
      </c>
      <c r="K583" t="str">
        <f>IF(logistics_classification_dataset__1[[#This Row],[Customer_Segment]]="Bireysel","Individual",IF(logistics_classification_dataset__1[[#This Row],[Customer_Segment]]="Kurumsal","Corporate"))</f>
        <v>Individual</v>
      </c>
      <c r="L583">
        <v>1</v>
      </c>
    </row>
    <row r="584" spans="1:12" x14ac:dyDescent="0.35">
      <c r="A584">
        <v>583</v>
      </c>
      <c r="B584" t="s">
        <v>9</v>
      </c>
      <c r="C584" t="s">
        <v>21</v>
      </c>
      <c r="D584" t="s">
        <v>10</v>
      </c>
      <c r="E584" t="str">
        <f>IF(logistics_classification_dataset__1[[#This Row],[Shipment_Type]]="Kara","Road",IF(logistics_classification_dataset__1[[#This Row],[Shipment_Type]]="Hava","Air",IF(logistics_classification_dataset__1[[#This Row],[Shipment_Type]]="Deniz","Sea")))</f>
        <v>Road</v>
      </c>
      <c r="F584">
        <v>27.93</v>
      </c>
      <c r="G584" t="str">
        <f t="shared" si="18"/>
        <v>0–500</v>
      </c>
      <c r="H584" s="1">
        <v>208</v>
      </c>
      <c r="I584" t="str">
        <f t="shared" si="19"/>
        <v>0–500</v>
      </c>
      <c r="J584" t="s">
        <v>14</v>
      </c>
      <c r="K584" t="str">
        <f>IF(logistics_classification_dataset__1[[#This Row],[Customer_Segment]]="Bireysel","Individual",IF(logistics_classification_dataset__1[[#This Row],[Customer_Segment]]="Kurumsal","Corporate"))</f>
        <v>Corporate</v>
      </c>
      <c r="L584">
        <v>1</v>
      </c>
    </row>
    <row r="585" spans="1:12" x14ac:dyDescent="0.35">
      <c r="A585">
        <v>584</v>
      </c>
      <c r="B585" t="s">
        <v>21</v>
      </c>
      <c r="C585" t="s">
        <v>16</v>
      </c>
      <c r="D585" t="s">
        <v>10</v>
      </c>
      <c r="E585" t="str">
        <f>IF(logistics_classification_dataset__1[[#This Row],[Shipment_Type]]="Kara","Road",IF(logistics_classification_dataset__1[[#This Row],[Shipment_Type]]="Hava","Air",IF(logistics_classification_dataset__1[[#This Row],[Shipment_Type]]="Deniz","Sea")))</f>
        <v>Road</v>
      </c>
      <c r="F585">
        <v>820.51</v>
      </c>
      <c r="G585" t="str">
        <f t="shared" si="18"/>
        <v>501–1000</v>
      </c>
      <c r="H585" s="1">
        <v>1668</v>
      </c>
      <c r="I585" t="str">
        <f t="shared" si="19"/>
        <v>1501–2000</v>
      </c>
      <c r="J585" t="s">
        <v>14</v>
      </c>
      <c r="K585" t="str">
        <f>IF(logistics_classification_dataset__1[[#This Row],[Customer_Segment]]="Bireysel","Individual",IF(logistics_classification_dataset__1[[#This Row],[Customer_Segment]]="Kurumsal","Corporate"))</f>
        <v>Corporate</v>
      </c>
      <c r="L585">
        <v>1</v>
      </c>
    </row>
    <row r="586" spans="1:12" x14ac:dyDescent="0.35">
      <c r="A586">
        <v>585</v>
      </c>
      <c r="B586" t="s">
        <v>16</v>
      </c>
      <c r="C586" t="s">
        <v>8</v>
      </c>
      <c r="D586" t="s">
        <v>15</v>
      </c>
      <c r="E586" t="str">
        <f>IF(logistics_classification_dataset__1[[#This Row],[Shipment_Type]]="Kara","Road",IF(logistics_classification_dataset__1[[#This Row],[Shipment_Type]]="Hava","Air",IF(logistics_classification_dataset__1[[#This Row],[Shipment_Type]]="Deniz","Sea")))</f>
        <v>Air</v>
      </c>
      <c r="F586">
        <v>1848.43</v>
      </c>
      <c r="G586" t="str">
        <f t="shared" si="18"/>
        <v>1501–2000</v>
      </c>
      <c r="H586" s="1">
        <v>1954.7</v>
      </c>
      <c r="I586" t="str">
        <f t="shared" si="19"/>
        <v>1501–2000</v>
      </c>
      <c r="J586" t="s">
        <v>14</v>
      </c>
      <c r="K586" t="str">
        <f>IF(logistics_classification_dataset__1[[#This Row],[Customer_Segment]]="Bireysel","Individual",IF(logistics_classification_dataset__1[[#This Row],[Customer_Segment]]="Kurumsal","Corporate"))</f>
        <v>Corporate</v>
      </c>
      <c r="L586">
        <v>1</v>
      </c>
    </row>
    <row r="587" spans="1:12" x14ac:dyDescent="0.35">
      <c r="A587">
        <v>586</v>
      </c>
      <c r="B587" t="s">
        <v>21</v>
      </c>
      <c r="C587" t="s">
        <v>22</v>
      </c>
      <c r="D587" t="s">
        <v>10</v>
      </c>
      <c r="E587" t="str">
        <f>IF(logistics_classification_dataset__1[[#This Row],[Shipment_Type]]="Kara","Road",IF(logistics_classification_dataset__1[[#This Row],[Shipment_Type]]="Hava","Air",IF(logistics_classification_dataset__1[[#This Row],[Shipment_Type]]="Deniz","Sea")))</f>
        <v>Road</v>
      </c>
      <c r="F587">
        <v>22.82</v>
      </c>
      <c r="G587" t="str">
        <f t="shared" si="18"/>
        <v>0–500</v>
      </c>
      <c r="H587" s="1">
        <v>839.2</v>
      </c>
      <c r="I587" t="str">
        <f t="shared" si="19"/>
        <v>501–1000</v>
      </c>
      <c r="J587" t="s">
        <v>11</v>
      </c>
      <c r="K587" t="str">
        <f>IF(logistics_classification_dataset__1[[#This Row],[Customer_Segment]]="Bireysel","Individual",IF(logistics_classification_dataset__1[[#This Row],[Customer_Segment]]="Kurumsal","Corporate"))</f>
        <v>Individual</v>
      </c>
      <c r="L587">
        <v>1</v>
      </c>
    </row>
    <row r="588" spans="1:12" x14ac:dyDescent="0.35">
      <c r="A588">
        <v>587</v>
      </c>
      <c r="B588" t="s">
        <v>17</v>
      </c>
      <c r="C588" t="s">
        <v>13</v>
      </c>
      <c r="D588" t="s">
        <v>15</v>
      </c>
      <c r="E588" t="str">
        <f>IF(logistics_classification_dataset__1[[#This Row],[Shipment_Type]]="Kara","Road",IF(logistics_classification_dataset__1[[#This Row],[Shipment_Type]]="Hava","Air",IF(logistics_classification_dataset__1[[#This Row],[Shipment_Type]]="Deniz","Sea")))</f>
        <v>Air</v>
      </c>
      <c r="F588">
        <v>1035.27</v>
      </c>
      <c r="G588" t="str">
        <f t="shared" si="18"/>
        <v>1001–1500</v>
      </c>
      <c r="H588" s="1">
        <v>220.9</v>
      </c>
      <c r="I588" t="str">
        <f t="shared" si="19"/>
        <v>0–500</v>
      </c>
      <c r="J588" t="s">
        <v>11</v>
      </c>
      <c r="K588" t="str">
        <f>IF(logistics_classification_dataset__1[[#This Row],[Customer_Segment]]="Bireysel","Individual",IF(logistics_classification_dataset__1[[#This Row],[Customer_Segment]]="Kurumsal","Corporate"))</f>
        <v>Individual</v>
      </c>
      <c r="L588">
        <v>1</v>
      </c>
    </row>
    <row r="589" spans="1:12" x14ac:dyDescent="0.35">
      <c r="A589">
        <v>588</v>
      </c>
      <c r="B589" t="s">
        <v>16</v>
      </c>
      <c r="C589" t="s">
        <v>13</v>
      </c>
      <c r="D589" t="s">
        <v>19</v>
      </c>
      <c r="E589" t="str">
        <f>IF(logistics_classification_dataset__1[[#This Row],[Shipment_Type]]="Kara","Road",IF(logistics_classification_dataset__1[[#This Row],[Shipment_Type]]="Hava","Air",IF(logistics_classification_dataset__1[[#This Row],[Shipment_Type]]="Deniz","Sea")))</f>
        <v>Sea</v>
      </c>
      <c r="F589">
        <v>1574.11</v>
      </c>
      <c r="G589" t="str">
        <f t="shared" si="18"/>
        <v>1501–2000</v>
      </c>
      <c r="H589" s="1">
        <v>178.3</v>
      </c>
      <c r="I589" t="str">
        <f t="shared" si="19"/>
        <v>0–500</v>
      </c>
      <c r="J589" t="s">
        <v>11</v>
      </c>
      <c r="K589" t="str">
        <f>IF(logistics_classification_dataset__1[[#This Row],[Customer_Segment]]="Bireysel","Individual",IF(logistics_classification_dataset__1[[#This Row],[Customer_Segment]]="Kurumsal","Corporate"))</f>
        <v>Individual</v>
      </c>
      <c r="L589">
        <v>0</v>
      </c>
    </row>
    <row r="590" spans="1:12" x14ac:dyDescent="0.35">
      <c r="A590">
        <v>589</v>
      </c>
      <c r="B590" t="s">
        <v>21</v>
      </c>
      <c r="C590" t="s">
        <v>9</v>
      </c>
      <c r="D590" t="s">
        <v>10</v>
      </c>
      <c r="E590" t="str">
        <f>IF(logistics_classification_dataset__1[[#This Row],[Shipment_Type]]="Kara","Road",IF(logistics_classification_dataset__1[[#This Row],[Shipment_Type]]="Hava","Air",IF(logistics_classification_dataset__1[[#This Row],[Shipment_Type]]="Deniz","Sea")))</f>
        <v>Road</v>
      </c>
      <c r="F590">
        <v>1885.35</v>
      </c>
      <c r="G590" t="str">
        <f t="shared" si="18"/>
        <v>1501–2000</v>
      </c>
      <c r="H590" s="1">
        <v>1788.1</v>
      </c>
      <c r="I590" t="str">
        <f t="shared" si="19"/>
        <v>1501–2000</v>
      </c>
      <c r="J590" t="s">
        <v>11</v>
      </c>
      <c r="K590" t="str">
        <f>IF(logistics_classification_dataset__1[[#This Row],[Customer_Segment]]="Bireysel","Individual",IF(logistics_classification_dataset__1[[#This Row],[Customer_Segment]]="Kurumsal","Corporate"))</f>
        <v>Individual</v>
      </c>
      <c r="L590">
        <v>1</v>
      </c>
    </row>
    <row r="591" spans="1:12" x14ac:dyDescent="0.35">
      <c r="A591">
        <v>590</v>
      </c>
      <c r="B591" t="s">
        <v>16</v>
      </c>
      <c r="C591" t="s">
        <v>13</v>
      </c>
      <c r="D591" t="s">
        <v>10</v>
      </c>
      <c r="E591" t="str">
        <f>IF(logistics_classification_dataset__1[[#This Row],[Shipment_Type]]="Kara","Road",IF(logistics_classification_dataset__1[[#This Row],[Shipment_Type]]="Hava","Air",IF(logistics_classification_dataset__1[[#This Row],[Shipment_Type]]="Deniz","Sea")))</f>
        <v>Road</v>
      </c>
      <c r="F591">
        <v>1494.82</v>
      </c>
      <c r="G591" t="str">
        <f t="shared" si="18"/>
        <v>1001–1500</v>
      </c>
      <c r="H591" s="1">
        <v>954.4</v>
      </c>
      <c r="I591" t="str">
        <f t="shared" si="19"/>
        <v>501–1000</v>
      </c>
      <c r="J591" t="s">
        <v>11</v>
      </c>
      <c r="K591" t="str">
        <f>IF(logistics_classification_dataset__1[[#This Row],[Customer_Segment]]="Bireysel","Individual",IF(logistics_classification_dataset__1[[#This Row],[Customer_Segment]]="Kurumsal","Corporate"))</f>
        <v>Individual</v>
      </c>
      <c r="L591">
        <v>0</v>
      </c>
    </row>
    <row r="592" spans="1:12" x14ac:dyDescent="0.35">
      <c r="A592">
        <v>591</v>
      </c>
      <c r="B592" t="s">
        <v>16</v>
      </c>
      <c r="C592" t="s">
        <v>20</v>
      </c>
      <c r="D592" t="s">
        <v>10</v>
      </c>
      <c r="E592" t="str">
        <f>IF(logistics_classification_dataset__1[[#This Row],[Shipment_Type]]="Kara","Road",IF(logistics_classification_dataset__1[[#This Row],[Shipment_Type]]="Hava","Air",IF(logistics_classification_dataset__1[[#This Row],[Shipment_Type]]="Deniz","Sea")))</f>
        <v>Road</v>
      </c>
      <c r="F592">
        <v>1442.53</v>
      </c>
      <c r="G592" t="str">
        <f t="shared" si="18"/>
        <v>1001–1500</v>
      </c>
      <c r="H592" s="1">
        <v>674.1</v>
      </c>
      <c r="I592" t="str">
        <f t="shared" si="19"/>
        <v>501–1000</v>
      </c>
      <c r="J592" t="s">
        <v>11</v>
      </c>
      <c r="K592" t="str">
        <f>IF(logistics_classification_dataset__1[[#This Row],[Customer_Segment]]="Bireysel","Individual",IF(logistics_classification_dataset__1[[#This Row],[Customer_Segment]]="Kurumsal","Corporate"))</f>
        <v>Individual</v>
      </c>
      <c r="L592">
        <v>1</v>
      </c>
    </row>
    <row r="593" spans="1:12" x14ac:dyDescent="0.35">
      <c r="A593">
        <v>592</v>
      </c>
      <c r="B593" t="s">
        <v>12</v>
      </c>
      <c r="C593" t="s">
        <v>22</v>
      </c>
      <c r="D593" t="s">
        <v>15</v>
      </c>
      <c r="E593" t="str">
        <f>IF(logistics_classification_dataset__1[[#This Row],[Shipment_Type]]="Kara","Road",IF(logistics_classification_dataset__1[[#This Row],[Shipment_Type]]="Hava","Air",IF(logistics_classification_dataset__1[[#This Row],[Shipment_Type]]="Deniz","Sea")))</f>
        <v>Air</v>
      </c>
      <c r="F593">
        <v>1653.84</v>
      </c>
      <c r="G593" t="str">
        <f t="shared" si="18"/>
        <v>1501–2000</v>
      </c>
      <c r="H593" s="1">
        <v>979.1</v>
      </c>
      <c r="I593" t="str">
        <f t="shared" si="19"/>
        <v>501–1000</v>
      </c>
      <c r="J593" t="s">
        <v>11</v>
      </c>
      <c r="K593" t="str">
        <f>IF(logistics_classification_dataset__1[[#This Row],[Customer_Segment]]="Bireysel","Individual",IF(logistics_classification_dataset__1[[#This Row],[Customer_Segment]]="Kurumsal","Corporate"))</f>
        <v>Individual</v>
      </c>
      <c r="L593">
        <v>1</v>
      </c>
    </row>
    <row r="594" spans="1:12" x14ac:dyDescent="0.35">
      <c r="A594">
        <v>593</v>
      </c>
      <c r="B594" t="s">
        <v>18</v>
      </c>
      <c r="C594" t="s">
        <v>22</v>
      </c>
      <c r="D594" t="s">
        <v>10</v>
      </c>
      <c r="E594" t="str">
        <f>IF(logistics_classification_dataset__1[[#This Row],[Shipment_Type]]="Kara","Road",IF(logistics_classification_dataset__1[[#This Row],[Shipment_Type]]="Hava","Air",IF(logistics_classification_dataset__1[[#This Row],[Shipment_Type]]="Deniz","Sea")))</f>
        <v>Road</v>
      </c>
      <c r="F594">
        <v>895.17</v>
      </c>
      <c r="G594" t="str">
        <f t="shared" si="18"/>
        <v>501–1000</v>
      </c>
      <c r="H594" s="1">
        <v>670.7</v>
      </c>
      <c r="I594" t="str">
        <f t="shared" si="19"/>
        <v>501–1000</v>
      </c>
      <c r="J594" t="s">
        <v>11</v>
      </c>
      <c r="K594" t="str">
        <f>IF(logistics_classification_dataset__1[[#This Row],[Customer_Segment]]="Bireysel","Individual",IF(logistics_classification_dataset__1[[#This Row],[Customer_Segment]]="Kurumsal","Corporate"))</f>
        <v>Individual</v>
      </c>
      <c r="L594">
        <v>1</v>
      </c>
    </row>
    <row r="595" spans="1:12" x14ac:dyDescent="0.35">
      <c r="A595">
        <v>594</v>
      </c>
      <c r="B595" t="s">
        <v>18</v>
      </c>
      <c r="C595" t="s">
        <v>21</v>
      </c>
      <c r="D595" t="s">
        <v>10</v>
      </c>
      <c r="E595" t="str">
        <f>IF(logistics_classification_dataset__1[[#This Row],[Shipment_Type]]="Kara","Road",IF(logistics_classification_dataset__1[[#This Row],[Shipment_Type]]="Hava","Air",IF(logistics_classification_dataset__1[[#This Row],[Shipment_Type]]="Deniz","Sea")))</f>
        <v>Road</v>
      </c>
      <c r="F595">
        <v>1612.66</v>
      </c>
      <c r="G595" t="str">
        <f t="shared" si="18"/>
        <v>1501–2000</v>
      </c>
      <c r="H595" s="1">
        <v>1003.6</v>
      </c>
      <c r="I595" t="str">
        <f t="shared" si="19"/>
        <v>1001–1500</v>
      </c>
      <c r="J595" t="s">
        <v>11</v>
      </c>
      <c r="K595" t="str">
        <f>IF(logistics_classification_dataset__1[[#This Row],[Customer_Segment]]="Bireysel","Individual",IF(logistics_classification_dataset__1[[#This Row],[Customer_Segment]]="Kurumsal","Corporate"))</f>
        <v>Individual</v>
      </c>
      <c r="L595">
        <v>1</v>
      </c>
    </row>
    <row r="596" spans="1:12" x14ac:dyDescent="0.35">
      <c r="A596">
        <v>595</v>
      </c>
      <c r="B596" t="s">
        <v>12</v>
      </c>
      <c r="C596" t="s">
        <v>20</v>
      </c>
      <c r="D596" t="s">
        <v>10</v>
      </c>
      <c r="E596" t="str">
        <f>IF(logistics_classification_dataset__1[[#This Row],[Shipment_Type]]="Kara","Road",IF(logistics_classification_dataset__1[[#This Row],[Shipment_Type]]="Hava","Air",IF(logistics_classification_dataset__1[[#This Row],[Shipment_Type]]="Deniz","Sea")))</f>
        <v>Road</v>
      </c>
      <c r="F596">
        <v>20.89</v>
      </c>
      <c r="G596" t="str">
        <f t="shared" si="18"/>
        <v>0–500</v>
      </c>
      <c r="H596" s="1">
        <v>1726.1</v>
      </c>
      <c r="I596" t="str">
        <f t="shared" si="19"/>
        <v>1501–2000</v>
      </c>
      <c r="J596" t="s">
        <v>11</v>
      </c>
      <c r="K596" t="str">
        <f>IF(logistics_classification_dataset__1[[#This Row],[Customer_Segment]]="Bireysel","Individual",IF(logistics_classification_dataset__1[[#This Row],[Customer_Segment]]="Kurumsal","Corporate"))</f>
        <v>Individual</v>
      </c>
      <c r="L596">
        <v>1</v>
      </c>
    </row>
    <row r="597" spans="1:12" x14ac:dyDescent="0.35">
      <c r="A597">
        <v>596</v>
      </c>
      <c r="B597" t="s">
        <v>20</v>
      </c>
      <c r="C597" t="s">
        <v>9</v>
      </c>
      <c r="D597" t="s">
        <v>15</v>
      </c>
      <c r="E597" t="str">
        <f>IF(logistics_classification_dataset__1[[#This Row],[Shipment_Type]]="Kara","Road",IF(logistics_classification_dataset__1[[#This Row],[Shipment_Type]]="Hava","Air",IF(logistics_classification_dataset__1[[#This Row],[Shipment_Type]]="Deniz","Sea")))</f>
        <v>Air</v>
      </c>
      <c r="F597">
        <v>184.95</v>
      </c>
      <c r="G597" t="str">
        <f t="shared" si="18"/>
        <v>0–500</v>
      </c>
      <c r="H597" s="1">
        <v>1205</v>
      </c>
      <c r="I597" t="str">
        <f t="shared" si="19"/>
        <v>1001–1500</v>
      </c>
      <c r="J597" t="s">
        <v>14</v>
      </c>
      <c r="K597" t="str">
        <f>IF(logistics_classification_dataset__1[[#This Row],[Customer_Segment]]="Bireysel","Individual",IF(logistics_classification_dataset__1[[#This Row],[Customer_Segment]]="Kurumsal","Corporate"))</f>
        <v>Corporate</v>
      </c>
      <c r="L597">
        <v>1</v>
      </c>
    </row>
    <row r="598" spans="1:12" x14ac:dyDescent="0.35">
      <c r="A598">
        <v>597</v>
      </c>
      <c r="B598" t="s">
        <v>22</v>
      </c>
      <c r="C598" t="s">
        <v>21</v>
      </c>
      <c r="D598" t="s">
        <v>10</v>
      </c>
      <c r="E598" t="str">
        <f>IF(logistics_classification_dataset__1[[#This Row],[Shipment_Type]]="Kara","Road",IF(logistics_classification_dataset__1[[#This Row],[Shipment_Type]]="Hava","Air",IF(logistics_classification_dataset__1[[#This Row],[Shipment_Type]]="Deniz","Sea")))</f>
        <v>Road</v>
      </c>
      <c r="F598">
        <v>88.94</v>
      </c>
      <c r="G598" t="str">
        <f t="shared" si="18"/>
        <v>0–500</v>
      </c>
      <c r="H598" s="1">
        <v>1404.6</v>
      </c>
      <c r="I598" t="str">
        <f t="shared" si="19"/>
        <v>1001–1500</v>
      </c>
      <c r="J598" t="s">
        <v>11</v>
      </c>
      <c r="K598" t="str">
        <f>IF(logistics_classification_dataset__1[[#This Row],[Customer_Segment]]="Bireysel","Individual",IF(logistics_classification_dataset__1[[#This Row],[Customer_Segment]]="Kurumsal","Corporate"))</f>
        <v>Individual</v>
      </c>
      <c r="L598">
        <v>1</v>
      </c>
    </row>
    <row r="599" spans="1:12" x14ac:dyDescent="0.35">
      <c r="A599">
        <v>598</v>
      </c>
      <c r="B599" t="s">
        <v>20</v>
      </c>
      <c r="C599" t="s">
        <v>17</v>
      </c>
      <c r="D599" t="s">
        <v>15</v>
      </c>
      <c r="E599" t="str">
        <f>IF(logistics_classification_dataset__1[[#This Row],[Shipment_Type]]="Kara","Road",IF(logistics_classification_dataset__1[[#This Row],[Shipment_Type]]="Hava","Air",IF(logistics_classification_dataset__1[[#This Row],[Shipment_Type]]="Deniz","Sea")))</f>
        <v>Air</v>
      </c>
      <c r="F599">
        <v>1108.99</v>
      </c>
      <c r="G599" t="str">
        <f t="shared" si="18"/>
        <v>1001–1500</v>
      </c>
      <c r="H599" s="1">
        <v>761.1</v>
      </c>
      <c r="I599" t="str">
        <f t="shared" si="19"/>
        <v>501–1000</v>
      </c>
      <c r="J599" t="s">
        <v>11</v>
      </c>
      <c r="K599" t="str">
        <f>IF(logistics_classification_dataset__1[[#This Row],[Customer_Segment]]="Bireysel","Individual",IF(logistics_classification_dataset__1[[#This Row],[Customer_Segment]]="Kurumsal","Corporate"))</f>
        <v>Individual</v>
      </c>
      <c r="L599">
        <v>1</v>
      </c>
    </row>
    <row r="600" spans="1:12" x14ac:dyDescent="0.35">
      <c r="A600">
        <v>599</v>
      </c>
      <c r="B600" t="s">
        <v>9</v>
      </c>
      <c r="C600" t="s">
        <v>13</v>
      </c>
      <c r="D600" t="s">
        <v>19</v>
      </c>
      <c r="E600" t="str">
        <f>IF(logistics_classification_dataset__1[[#This Row],[Shipment_Type]]="Kara","Road",IF(logistics_classification_dataset__1[[#This Row],[Shipment_Type]]="Hava","Air",IF(logistics_classification_dataset__1[[#This Row],[Shipment_Type]]="Deniz","Sea")))</f>
        <v>Sea</v>
      </c>
      <c r="F600">
        <v>513.49</v>
      </c>
      <c r="G600" t="str">
        <f t="shared" si="18"/>
        <v>501–1000</v>
      </c>
      <c r="H600" s="1">
        <v>1490.1</v>
      </c>
      <c r="I600" t="str">
        <f t="shared" si="19"/>
        <v>1001–1500</v>
      </c>
      <c r="J600" t="s">
        <v>11</v>
      </c>
      <c r="K600" t="str">
        <f>IF(logistics_classification_dataset__1[[#This Row],[Customer_Segment]]="Bireysel","Individual",IF(logistics_classification_dataset__1[[#This Row],[Customer_Segment]]="Kurumsal","Corporate"))</f>
        <v>Individual</v>
      </c>
      <c r="L600">
        <v>1</v>
      </c>
    </row>
    <row r="601" spans="1:12" x14ac:dyDescent="0.35">
      <c r="A601">
        <v>600</v>
      </c>
      <c r="B601" t="s">
        <v>9</v>
      </c>
      <c r="C601" t="s">
        <v>21</v>
      </c>
      <c r="D601" t="s">
        <v>10</v>
      </c>
      <c r="E601" t="str">
        <f>IF(logistics_classification_dataset__1[[#This Row],[Shipment_Type]]="Kara","Road",IF(logistics_classification_dataset__1[[#This Row],[Shipment_Type]]="Hava","Air",IF(logistics_classification_dataset__1[[#This Row],[Shipment_Type]]="Deniz","Sea")))</f>
        <v>Road</v>
      </c>
      <c r="F601">
        <v>1486.35</v>
      </c>
      <c r="G601" t="str">
        <f t="shared" si="18"/>
        <v>1001–1500</v>
      </c>
      <c r="H601" s="1">
        <v>1349.9</v>
      </c>
      <c r="I601" t="str">
        <f t="shared" si="19"/>
        <v>1001–1500</v>
      </c>
      <c r="J601" t="s">
        <v>14</v>
      </c>
      <c r="K601" t="str">
        <f>IF(logistics_classification_dataset__1[[#This Row],[Customer_Segment]]="Bireysel","Individual",IF(logistics_classification_dataset__1[[#This Row],[Customer_Segment]]="Kurumsal","Corporate"))</f>
        <v>Corporate</v>
      </c>
      <c r="L601">
        <v>1</v>
      </c>
    </row>
    <row r="602" spans="1:12" x14ac:dyDescent="0.35">
      <c r="A602">
        <v>601</v>
      </c>
      <c r="B602" t="s">
        <v>16</v>
      </c>
      <c r="C602" t="s">
        <v>18</v>
      </c>
      <c r="D602" t="s">
        <v>15</v>
      </c>
      <c r="E602" t="str">
        <f>IF(logistics_classification_dataset__1[[#This Row],[Shipment_Type]]="Kara","Road",IF(logistics_classification_dataset__1[[#This Row],[Shipment_Type]]="Hava","Air",IF(logistics_classification_dataset__1[[#This Row],[Shipment_Type]]="Deniz","Sea")))</f>
        <v>Air</v>
      </c>
      <c r="F602">
        <v>157.88999999999999</v>
      </c>
      <c r="G602" t="str">
        <f t="shared" si="18"/>
        <v>0–500</v>
      </c>
      <c r="H602" s="1">
        <v>283.10000000000002</v>
      </c>
      <c r="I602" t="str">
        <f t="shared" si="19"/>
        <v>0–500</v>
      </c>
      <c r="J602" t="s">
        <v>11</v>
      </c>
      <c r="K602" t="str">
        <f>IF(logistics_classification_dataset__1[[#This Row],[Customer_Segment]]="Bireysel","Individual",IF(logistics_classification_dataset__1[[#This Row],[Customer_Segment]]="Kurumsal","Corporate"))</f>
        <v>Individual</v>
      </c>
      <c r="L602">
        <v>1</v>
      </c>
    </row>
    <row r="603" spans="1:12" x14ac:dyDescent="0.35">
      <c r="A603">
        <v>602</v>
      </c>
      <c r="B603" t="s">
        <v>21</v>
      </c>
      <c r="C603" t="s">
        <v>13</v>
      </c>
      <c r="D603" t="s">
        <v>10</v>
      </c>
      <c r="E603" t="str">
        <f>IF(logistics_classification_dataset__1[[#This Row],[Shipment_Type]]="Kara","Road",IF(logistics_classification_dataset__1[[#This Row],[Shipment_Type]]="Hava","Air",IF(logistics_classification_dataset__1[[#This Row],[Shipment_Type]]="Deniz","Sea")))</f>
        <v>Road</v>
      </c>
      <c r="F603">
        <v>1745.91</v>
      </c>
      <c r="G603" t="str">
        <f t="shared" si="18"/>
        <v>1501–2000</v>
      </c>
      <c r="H603" s="1">
        <v>1166.7</v>
      </c>
      <c r="I603" t="str">
        <f t="shared" si="19"/>
        <v>1001–1500</v>
      </c>
      <c r="J603" t="s">
        <v>11</v>
      </c>
      <c r="K603" t="str">
        <f>IF(logistics_classification_dataset__1[[#This Row],[Customer_Segment]]="Bireysel","Individual",IF(logistics_classification_dataset__1[[#This Row],[Customer_Segment]]="Kurumsal","Corporate"))</f>
        <v>Individual</v>
      </c>
      <c r="L603">
        <v>1</v>
      </c>
    </row>
    <row r="604" spans="1:12" x14ac:dyDescent="0.35">
      <c r="A604">
        <v>603</v>
      </c>
      <c r="B604" t="s">
        <v>21</v>
      </c>
      <c r="C604" t="s">
        <v>20</v>
      </c>
      <c r="D604" t="s">
        <v>15</v>
      </c>
      <c r="E604" t="str">
        <f>IF(logistics_classification_dataset__1[[#This Row],[Shipment_Type]]="Kara","Road",IF(logistics_classification_dataset__1[[#This Row],[Shipment_Type]]="Hava","Air",IF(logistics_classification_dataset__1[[#This Row],[Shipment_Type]]="Deniz","Sea")))</f>
        <v>Air</v>
      </c>
      <c r="F604">
        <v>1657.09</v>
      </c>
      <c r="G604" t="str">
        <f t="shared" si="18"/>
        <v>1501–2000</v>
      </c>
      <c r="H604" s="1">
        <v>550.6</v>
      </c>
      <c r="I604" t="str">
        <f t="shared" si="19"/>
        <v>501–1000</v>
      </c>
      <c r="J604" t="s">
        <v>11</v>
      </c>
      <c r="K604" t="str">
        <f>IF(logistics_classification_dataset__1[[#This Row],[Customer_Segment]]="Bireysel","Individual",IF(logistics_classification_dataset__1[[#This Row],[Customer_Segment]]="Kurumsal","Corporate"))</f>
        <v>Individual</v>
      </c>
      <c r="L604">
        <v>1</v>
      </c>
    </row>
    <row r="605" spans="1:12" x14ac:dyDescent="0.35">
      <c r="A605">
        <v>604</v>
      </c>
      <c r="B605" t="s">
        <v>18</v>
      </c>
      <c r="C605" t="s">
        <v>9</v>
      </c>
      <c r="D605" t="s">
        <v>15</v>
      </c>
      <c r="E605" t="str">
        <f>IF(logistics_classification_dataset__1[[#This Row],[Shipment_Type]]="Kara","Road",IF(logistics_classification_dataset__1[[#This Row],[Shipment_Type]]="Hava","Air",IF(logistics_classification_dataset__1[[#This Row],[Shipment_Type]]="Deniz","Sea")))</f>
        <v>Air</v>
      </c>
      <c r="F605">
        <v>436.04</v>
      </c>
      <c r="G605" t="str">
        <f t="shared" si="18"/>
        <v>0–500</v>
      </c>
      <c r="H605" s="1">
        <v>1618</v>
      </c>
      <c r="I605" t="str">
        <f t="shared" si="19"/>
        <v>1501–2000</v>
      </c>
      <c r="J605" t="s">
        <v>11</v>
      </c>
      <c r="K605" t="str">
        <f>IF(logistics_classification_dataset__1[[#This Row],[Customer_Segment]]="Bireysel","Individual",IF(logistics_classification_dataset__1[[#This Row],[Customer_Segment]]="Kurumsal","Corporate"))</f>
        <v>Individual</v>
      </c>
      <c r="L605">
        <v>1</v>
      </c>
    </row>
    <row r="606" spans="1:12" x14ac:dyDescent="0.35">
      <c r="A606">
        <v>605</v>
      </c>
      <c r="B606" t="s">
        <v>8</v>
      </c>
      <c r="C606" t="s">
        <v>20</v>
      </c>
      <c r="D606" t="s">
        <v>15</v>
      </c>
      <c r="E606" t="str">
        <f>IF(logistics_classification_dataset__1[[#This Row],[Shipment_Type]]="Kara","Road",IF(logistics_classification_dataset__1[[#This Row],[Shipment_Type]]="Hava","Air",IF(logistics_classification_dataset__1[[#This Row],[Shipment_Type]]="Deniz","Sea")))</f>
        <v>Air</v>
      </c>
      <c r="F606">
        <v>161.96</v>
      </c>
      <c r="G606" t="str">
        <f t="shared" si="18"/>
        <v>0–500</v>
      </c>
      <c r="H606" s="1">
        <v>880.6</v>
      </c>
      <c r="I606" t="str">
        <f t="shared" si="19"/>
        <v>501–1000</v>
      </c>
      <c r="J606" t="s">
        <v>11</v>
      </c>
      <c r="K606" t="str">
        <f>IF(logistics_classification_dataset__1[[#This Row],[Customer_Segment]]="Bireysel","Individual",IF(logistics_classification_dataset__1[[#This Row],[Customer_Segment]]="Kurumsal","Corporate"))</f>
        <v>Individual</v>
      </c>
      <c r="L606">
        <v>1</v>
      </c>
    </row>
    <row r="607" spans="1:12" x14ac:dyDescent="0.35">
      <c r="A607">
        <v>606</v>
      </c>
      <c r="B607" t="s">
        <v>20</v>
      </c>
      <c r="C607" t="s">
        <v>21</v>
      </c>
      <c r="D607" t="s">
        <v>10</v>
      </c>
      <c r="E607" t="str">
        <f>IF(logistics_classification_dataset__1[[#This Row],[Shipment_Type]]="Kara","Road",IF(logistics_classification_dataset__1[[#This Row],[Shipment_Type]]="Hava","Air",IF(logistics_classification_dataset__1[[#This Row],[Shipment_Type]]="Deniz","Sea")))</f>
        <v>Road</v>
      </c>
      <c r="F607">
        <v>1573.78</v>
      </c>
      <c r="G607" t="str">
        <f t="shared" si="18"/>
        <v>1501–2000</v>
      </c>
      <c r="H607" s="1">
        <v>1989.6</v>
      </c>
      <c r="I607" t="str">
        <f t="shared" si="19"/>
        <v>1501–2000</v>
      </c>
      <c r="J607" t="s">
        <v>14</v>
      </c>
      <c r="K607" t="str">
        <f>IF(logistics_classification_dataset__1[[#This Row],[Customer_Segment]]="Bireysel","Individual",IF(logistics_classification_dataset__1[[#This Row],[Customer_Segment]]="Kurumsal","Corporate"))</f>
        <v>Corporate</v>
      </c>
      <c r="L607">
        <v>0</v>
      </c>
    </row>
    <row r="608" spans="1:12" x14ac:dyDescent="0.35">
      <c r="A608">
        <v>607</v>
      </c>
      <c r="B608" t="s">
        <v>17</v>
      </c>
      <c r="C608" t="s">
        <v>21</v>
      </c>
      <c r="D608" t="s">
        <v>10</v>
      </c>
      <c r="E608" t="str">
        <f>IF(logistics_classification_dataset__1[[#This Row],[Shipment_Type]]="Kara","Road",IF(logistics_classification_dataset__1[[#This Row],[Shipment_Type]]="Hava","Air",IF(logistics_classification_dataset__1[[#This Row],[Shipment_Type]]="Deniz","Sea")))</f>
        <v>Road</v>
      </c>
      <c r="F608">
        <v>1266.27</v>
      </c>
      <c r="G608" t="str">
        <f t="shared" si="18"/>
        <v>1001–1500</v>
      </c>
      <c r="H608" s="1">
        <v>230.4</v>
      </c>
      <c r="I608" t="str">
        <f t="shared" si="19"/>
        <v>0–500</v>
      </c>
      <c r="J608" t="s">
        <v>14</v>
      </c>
      <c r="K608" t="str">
        <f>IF(logistics_classification_dataset__1[[#This Row],[Customer_Segment]]="Bireysel","Individual",IF(logistics_classification_dataset__1[[#This Row],[Customer_Segment]]="Kurumsal","Corporate"))</f>
        <v>Corporate</v>
      </c>
      <c r="L608">
        <v>1</v>
      </c>
    </row>
    <row r="609" spans="1:12" x14ac:dyDescent="0.35">
      <c r="A609">
        <v>608</v>
      </c>
      <c r="B609" t="s">
        <v>13</v>
      </c>
      <c r="C609" t="s">
        <v>12</v>
      </c>
      <c r="D609" t="s">
        <v>10</v>
      </c>
      <c r="E609" t="str">
        <f>IF(logistics_classification_dataset__1[[#This Row],[Shipment_Type]]="Kara","Road",IF(logistics_classification_dataset__1[[#This Row],[Shipment_Type]]="Hava","Air",IF(logistics_classification_dataset__1[[#This Row],[Shipment_Type]]="Deniz","Sea")))</f>
        <v>Road</v>
      </c>
      <c r="F609">
        <v>750.17</v>
      </c>
      <c r="G609" t="str">
        <f t="shared" si="18"/>
        <v>501–1000</v>
      </c>
      <c r="H609" s="1">
        <v>1571.7</v>
      </c>
      <c r="I609" t="str">
        <f t="shared" si="19"/>
        <v>1501–2000</v>
      </c>
      <c r="J609" t="s">
        <v>11</v>
      </c>
      <c r="K609" t="str">
        <f>IF(logistics_classification_dataset__1[[#This Row],[Customer_Segment]]="Bireysel","Individual",IF(logistics_classification_dataset__1[[#This Row],[Customer_Segment]]="Kurumsal","Corporate"))</f>
        <v>Individual</v>
      </c>
      <c r="L609">
        <v>1</v>
      </c>
    </row>
    <row r="610" spans="1:12" x14ac:dyDescent="0.35">
      <c r="A610">
        <v>609</v>
      </c>
      <c r="B610" t="s">
        <v>21</v>
      </c>
      <c r="C610" t="s">
        <v>9</v>
      </c>
      <c r="D610" t="s">
        <v>10</v>
      </c>
      <c r="E610" t="str">
        <f>IF(logistics_classification_dataset__1[[#This Row],[Shipment_Type]]="Kara","Road",IF(logistics_classification_dataset__1[[#This Row],[Shipment_Type]]="Hava","Air",IF(logistics_classification_dataset__1[[#This Row],[Shipment_Type]]="Deniz","Sea")))</f>
        <v>Road</v>
      </c>
      <c r="F610">
        <v>546.64</v>
      </c>
      <c r="G610" t="str">
        <f t="shared" si="18"/>
        <v>501–1000</v>
      </c>
      <c r="H610" s="1">
        <v>1363.7</v>
      </c>
      <c r="I610" t="str">
        <f t="shared" si="19"/>
        <v>1001–1500</v>
      </c>
      <c r="J610" t="s">
        <v>11</v>
      </c>
      <c r="K610" t="str">
        <f>IF(logistics_classification_dataset__1[[#This Row],[Customer_Segment]]="Bireysel","Individual",IF(logistics_classification_dataset__1[[#This Row],[Customer_Segment]]="Kurumsal","Corporate"))</f>
        <v>Individual</v>
      </c>
      <c r="L610">
        <v>1</v>
      </c>
    </row>
    <row r="611" spans="1:12" x14ac:dyDescent="0.35">
      <c r="A611">
        <v>610</v>
      </c>
      <c r="B611" t="s">
        <v>13</v>
      </c>
      <c r="C611" t="s">
        <v>17</v>
      </c>
      <c r="D611" t="s">
        <v>10</v>
      </c>
      <c r="E611" t="str">
        <f>IF(logistics_classification_dataset__1[[#This Row],[Shipment_Type]]="Kara","Road",IF(logistics_classification_dataset__1[[#This Row],[Shipment_Type]]="Hava","Air",IF(logistics_classification_dataset__1[[#This Row],[Shipment_Type]]="Deniz","Sea")))</f>
        <v>Road</v>
      </c>
      <c r="F611">
        <v>467.41</v>
      </c>
      <c r="G611" t="str">
        <f t="shared" si="18"/>
        <v>0–500</v>
      </c>
      <c r="H611" s="1">
        <v>1546.6</v>
      </c>
      <c r="I611" t="str">
        <f t="shared" si="19"/>
        <v>1501–2000</v>
      </c>
      <c r="J611" t="s">
        <v>11</v>
      </c>
      <c r="K611" t="str">
        <f>IF(logistics_classification_dataset__1[[#This Row],[Customer_Segment]]="Bireysel","Individual",IF(logistics_classification_dataset__1[[#This Row],[Customer_Segment]]="Kurumsal","Corporate"))</f>
        <v>Individual</v>
      </c>
      <c r="L611">
        <v>0</v>
      </c>
    </row>
    <row r="612" spans="1:12" x14ac:dyDescent="0.35">
      <c r="A612">
        <v>611</v>
      </c>
      <c r="B612" t="s">
        <v>16</v>
      </c>
      <c r="C612" t="s">
        <v>13</v>
      </c>
      <c r="D612" t="s">
        <v>10</v>
      </c>
      <c r="E612" t="str">
        <f>IF(logistics_classification_dataset__1[[#This Row],[Shipment_Type]]="Kara","Road",IF(logistics_classification_dataset__1[[#This Row],[Shipment_Type]]="Hava","Air",IF(logistics_classification_dataset__1[[#This Row],[Shipment_Type]]="Deniz","Sea")))</f>
        <v>Road</v>
      </c>
      <c r="F612">
        <v>640.62</v>
      </c>
      <c r="G612" t="str">
        <f t="shared" si="18"/>
        <v>501–1000</v>
      </c>
      <c r="H612" s="1">
        <v>649.70000000000005</v>
      </c>
      <c r="I612" t="str">
        <f t="shared" si="19"/>
        <v>501–1000</v>
      </c>
      <c r="J612" t="s">
        <v>11</v>
      </c>
      <c r="K612" t="str">
        <f>IF(logistics_classification_dataset__1[[#This Row],[Customer_Segment]]="Bireysel","Individual",IF(logistics_classification_dataset__1[[#This Row],[Customer_Segment]]="Kurumsal","Corporate"))</f>
        <v>Individual</v>
      </c>
      <c r="L612">
        <v>1</v>
      </c>
    </row>
    <row r="613" spans="1:12" x14ac:dyDescent="0.35">
      <c r="A613">
        <v>612</v>
      </c>
      <c r="B613" t="s">
        <v>13</v>
      </c>
      <c r="C613" t="s">
        <v>22</v>
      </c>
      <c r="D613" t="s">
        <v>10</v>
      </c>
      <c r="E613" t="str">
        <f>IF(logistics_classification_dataset__1[[#This Row],[Shipment_Type]]="Kara","Road",IF(logistics_classification_dataset__1[[#This Row],[Shipment_Type]]="Hava","Air",IF(logistics_classification_dataset__1[[#This Row],[Shipment_Type]]="Deniz","Sea")))</f>
        <v>Road</v>
      </c>
      <c r="F613">
        <v>180.76</v>
      </c>
      <c r="G613" t="str">
        <f t="shared" si="18"/>
        <v>0–500</v>
      </c>
      <c r="H613" s="1">
        <v>1009.5</v>
      </c>
      <c r="I613" t="str">
        <f t="shared" si="19"/>
        <v>1001–1500</v>
      </c>
      <c r="J613" t="s">
        <v>11</v>
      </c>
      <c r="K613" t="str">
        <f>IF(logistics_classification_dataset__1[[#This Row],[Customer_Segment]]="Bireysel","Individual",IF(logistics_classification_dataset__1[[#This Row],[Customer_Segment]]="Kurumsal","Corporate"))</f>
        <v>Individual</v>
      </c>
      <c r="L613">
        <v>0</v>
      </c>
    </row>
    <row r="614" spans="1:12" x14ac:dyDescent="0.35">
      <c r="A614">
        <v>613</v>
      </c>
      <c r="B614" t="s">
        <v>17</v>
      </c>
      <c r="C614" t="s">
        <v>9</v>
      </c>
      <c r="D614" t="s">
        <v>10</v>
      </c>
      <c r="E614" t="str">
        <f>IF(logistics_classification_dataset__1[[#This Row],[Shipment_Type]]="Kara","Road",IF(logistics_classification_dataset__1[[#This Row],[Shipment_Type]]="Hava","Air",IF(logistics_classification_dataset__1[[#This Row],[Shipment_Type]]="Deniz","Sea")))</f>
        <v>Road</v>
      </c>
      <c r="F614">
        <v>159.88999999999999</v>
      </c>
      <c r="G614" t="str">
        <f t="shared" si="18"/>
        <v>0–500</v>
      </c>
      <c r="H614" s="1">
        <v>1603.2</v>
      </c>
      <c r="I614" t="str">
        <f t="shared" si="19"/>
        <v>1501–2000</v>
      </c>
      <c r="J614" t="s">
        <v>11</v>
      </c>
      <c r="K614" t="str">
        <f>IF(logistics_classification_dataset__1[[#This Row],[Customer_Segment]]="Bireysel","Individual",IF(logistics_classification_dataset__1[[#This Row],[Customer_Segment]]="Kurumsal","Corporate"))</f>
        <v>Individual</v>
      </c>
      <c r="L614">
        <v>1</v>
      </c>
    </row>
    <row r="615" spans="1:12" x14ac:dyDescent="0.35">
      <c r="A615">
        <v>614</v>
      </c>
      <c r="B615" t="s">
        <v>12</v>
      </c>
      <c r="C615" t="s">
        <v>22</v>
      </c>
      <c r="D615" t="s">
        <v>15</v>
      </c>
      <c r="E615" t="str">
        <f>IF(logistics_classification_dataset__1[[#This Row],[Shipment_Type]]="Kara","Road",IF(logistics_classification_dataset__1[[#This Row],[Shipment_Type]]="Hava","Air",IF(logistics_classification_dataset__1[[#This Row],[Shipment_Type]]="Deniz","Sea")))</f>
        <v>Air</v>
      </c>
      <c r="F615">
        <v>165.86</v>
      </c>
      <c r="G615" t="str">
        <f t="shared" si="18"/>
        <v>0–500</v>
      </c>
      <c r="H615" s="1">
        <v>503.5</v>
      </c>
      <c r="I615" t="str">
        <f t="shared" si="19"/>
        <v>501–1000</v>
      </c>
      <c r="J615" t="s">
        <v>14</v>
      </c>
      <c r="K615" t="str">
        <f>IF(logistics_classification_dataset__1[[#This Row],[Customer_Segment]]="Bireysel","Individual",IF(logistics_classification_dataset__1[[#This Row],[Customer_Segment]]="Kurumsal","Corporate"))</f>
        <v>Corporate</v>
      </c>
      <c r="L615">
        <v>1</v>
      </c>
    </row>
    <row r="616" spans="1:12" x14ac:dyDescent="0.35">
      <c r="A616">
        <v>615</v>
      </c>
      <c r="B616" t="s">
        <v>17</v>
      </c>
      <c r="C616" t="s">
        <v>9</v>
      </c>
      <c r="D616" t="s">
        <v>10</v>
      </c>
      <c r="E616" t="str">
        <f>IF(logistics_classification_dataset__1[[#This Row],[Shipment_Type]]="Kara","Road",IF(logistics_classification_dataset__1[[#This Row],[Shipment_Type]]="Hava","Air",IF(logistics_classification_dataset__1[[#This Row],[Shipment_Type]]="Deniz","Sea")))</f>
        <v>Road</v>
      </c>
      <c r="F616">
        <v>701.04</v>
      </c>
      <c r="G616" t="str">
        <f t="shared" si="18"/>
        <v>501–1000</v>
      </c>
      <c r="H616" s="1">
        <v>490.8</v>
      </c>
      <c r="I616" t="str">
        <f t="shared" si="19"/>
        <v>0–500</v>
      </c>
      <c r="J616" t="s">
        <v>14</v>
      </c>
      <c r="K616" t="str">
        <f>IF(logistics_classification_dataset__1[[#This Row],[Customer_Segment]]="Bireysel","Individual",IF(logistics_classification_dataset__1[[#This Row],[Customer_Segment]]="Kurumsal","Corporate"))</f>
        <v>Corporate</v>
      </c>
      <c r="L616">
        <v>0</v>
      </c>
    </row>
    <row r="617" spans="1:12" x14ac:dyDescent="0.35">
      <c r="A617">
        <v>616</v>
      </c>
      <c r="B617" t="s">
        <v>13</v>
      </c>
      <c r="C617" t="s">
        <v>9</v>
      </c>
      <c r="D617" t="s">
        <v>10</v>
      </c>
      <c r="E617" t="str">
        <f>IF(logistics_classification_dataset__1[[#This Row],[Shipment_Type]]="Kara","Road",IF(logistics_classification_dataset__1[[#This Row],[Shipment_Type]]="Hava","Air",IF(logistics_classification_dataset__1[[#This Row],[Shipment_Type]]="Deniz","Sea")))</f>
        <v>Road</v>
      </c>
      <c r="F617">
        <v>1045.5899999999999</v>
      </c>
      <c r="G617" t="str">
        <f t="shared" si="18"/>
        <v>1001–1500</v>
      </c>
      <c r="H617" s="1">
        <v>1124.5</v>
      </c>
      <c r="I617" t="str">
        <f t="shared" si="19"/>
        <v>1001–1500</v>
      </c>
      <c r="J617" t="s">
        <v>11</v>
      </c>
      <c r="K617" t="str">
        <f>IF(logistics_classification_dataset__1[[#This Row],[Customer_Segment]]="Bireysel","Individual",IF(logistics_classification_dataset__1[[#This Row],[Customer_Segment]]="Kurumsal","Corporate"))</f>
        <v>Individual</v>
      </c>
      <c r="L617">
        <v>1</v>
      </c>
    </row>
    <row r="618" spans="1:12" x14ac:dyDescent="0.35">
      <c r="A618">
        <v>617</v>
      </c>
      <c r="B618" t="s">
        <v>17</v>
      </c>
      <c r="C618" t="s">
        <v>20</v>
      </c>
      <c r="D618" t="s">
        <v>10</v>
      </c>
      <c r="E618" t="str">
        <f>IF(logistics_classification_dataset__1[[#This Row],[Shipment_Type]]="Kara","Road",IF(logistics_classification_dataset__1[[#This Row],[Shipment_Type]]="Hava","Air",IF(logistics_classification_dataset__1[[#This Row],[Shipment_Type]]="Deniz","Sea")))</f>
        <v>Road</v>
      </c>
      <c r="F618">
        <v>159</v>
      </c>
      <c r="G618" t="str">
        <f t="shared" si="18"/>
        <v>0–500</v>
      </c>
      <c r="H618" s="1">
        <v>1070.9000000000001</v>
      </c>
      <c r="I618" t="str">
        <f t="shared" si="19"/>
        <v>1001–1500</v>
      </c>
      <c r="J618" t="s">
        <v>11</v>
      </c>
      <c r="K618" t="str">
        <f>IF(logistics_classification_dataset__1[[#This Row],[Customer_Segment]]="Bireysel","Individual",IF(logistics_classification_dataset__1[[#This Row],[Customer_Segment]]="Kurumsal","Corporate"))</f>
        <v>Individual</v>
      </c>
      <c r="L618">
        <v>1</v>
      </c>
    </row>
    <row r="619" spans="1:12" x14ac:dyDescent="0.35">
      <c r="A619">
        <v>618</v>
      </c>
      <c r="B619" t="s">
        <v>22</v>
      </c>
      <c r="C619" t="s">
        <v>9</v>
      </c>
      <c r="D619" t="s">
        <v>10</v>
      </c>
      <c r="E619" t="str">
        <f>IF(logistics_classification_dataset__1[[#This Row],[Shipment_Type]]="Kara","Road",IF(logistics_classification_dataset__1[[#This Row],[Shipment_Type]]="Hava","Air",IF(logistics_classification_dataset__1[[#This Row],[Shipment_Type]]="Deniz","Sea")))</f>
        <v>Road</v>
      </c>
      <c r="F619">
        <v>1769.33</v>
      </c>
      <c r="G619" t="str">
        <f t="shared" si="18"/>
        <v>1501–2000</v>
      </c>
      <c r="H619" s="1">
        <v>600.4</v>
      </c>
      <c r="I619" t="str">
        <f t="shared" si="19"/>
        <v>501–1000</v>
      </c>
      <c r="J619" t="s">
        <v>11</v>
      </c>
      <c r="K619" t="str">
        <f>IF(logistics_classification_dataset__1[[#This Row],[Customer_Segment]]="Bireysel","Individual",IF(logistics_classification_dataset__1[[#This Row],[Customer_Segment]]="Kurumsal","Corporate"))</f>
        <v>Individual</v>
      </c>
      <c r="L619">
        <v>1</v>
      </c>
    </row>
    <row r="620" spans="1:12" x14ac:dyDescent="0.35">
      <c r="A620">
        <v>619</v>
      </c>
      <c r="B620" t="s">
        <v>16</v>
      </c>
      <c r="C620" t="s">
        <v>12</v>
      </c>
      <c r="D620" t="s">
        <v>19</v>
      </c>
      <c r="E620" t="str">
        <f>IF(logistics_classification_dataset__1[[#This Row],[Shipment_Type]]="Kara","Road",IF(logistics_classification_dataset__1[[#This Row],[Shipment_Type]]="Hava","Air",IF(logistics_classification_dataset__1[[#This Row],[Shipment_Type]]="Deniz","Sea")))</f>
        <v>Sea</v>
      </c>
      <c r="F620">
        <v>692.84</v>
      </c>
      <c r="G620" t="str">
        <f t="shared" si="18"/>
        <v>501–1000</v>
      </c>
      <c r="H620" s="1">
        <v>631.20000000000005</v>
      </c>
      <c r="I620" t="str">
        <f t="shared" si="19"/>
        <v>501–1000</v>
      </c>
      <c r="J620" t="s">
        <v>11</v>
      </c>
      <c r="K620" t="str">
        <f>IF(logistics_classification_dataset__1[[#This Row],[Customer_Segment]]="Bireysel","Individual",IF(logistics_classification_dataset__1[[#This Row],[Customer_Segment]]="Kurumsal","Corporate"))</f>
        <v>Individual</v>
      </c>
      <c r="L620">
        <v>0</v>
      </c>
    </row>
    <row r="621" spans="1:12" x14ac:dyDescent="0.35">
      <c r="A621">
        <v>620</v>
      </c>
      <c r="B621" t="s">
        <v>20</v>
      </c>
      <c r="C621" t="s">
        <v>17</v>
      </c>
      <c r="D621" t="s">
        <v>10</v>
      </c>
      <c r="E621" t="str">
        <f>IF(logistics_classification_dataset__1[[#This Row],[Shipment_Type]]="Kara","Road",IF(logistics_classification_dataset__1[[#This Row],[Shipment_Type]]="Hava","Air",IF(logistics_classification_dataset__1[[#This Row],[Shipment_Type]]="Deniz","Sea")))</f>
        <v>Road</v>
      </c>
      <c r="F621">
        <v>926.38</v>
      </c>
      <c r="G621" t="str">
        <f t="shared" si="18"/>
        <v>501–1000</v>
      </c>
      <c r="H621" s="1">
        <v>591.79999999999995</v>
      </c>
      <c r="I621" t="str">
        <f t="shared" si="19"/>
        <v>501–1000</v>
      </c>
      <c r="J621" t="s">
        <v>11</v>
      </c>
      <c r="K621" t="str">
        <f>IF(logistics_classification_dataset__1[[#This Row],[Customer_Segment]]="Bireysel","Individual",IF(logistics_classification_dataset__1[[#This Row],[Customer_Segment]]="Kurumsal","Corporate"))</f>
        <v>Individual</v>
      </c>
      <c r="L621">
        <v>1</v>
      </c>
    </row>
    <row r="622" spans="1:12" x14ac:dyDescent="0.35">
      <c r="A622">
        <v>621</v>
      </c>
      <c r="B622" t="s">
        <v>12</v>
      </c>
      <c r="C622" t="s">
        <v>21</v>
      </c>
      <c r="D622" t="s">
        <v>15</v>
      </c>
      <c r="E622" t="str">
        <f>IF(logistics_classification_dataset__1[[#This Row],[Shipment_Type]]="Kara","Road",IF(logistics_classification_dataset__1[[#This Row],[Shipment_Type]]="Hava","Air",IF(logistics_classification_dataset__1[[#This Row],[Shipment_Type]]="Deniz","Sea")))</f>
        <v>Air</v>
      </c>
      <c r="F622">
        <v>831.96</v>
      </c>
      <c r="G622" t="str">
        <f t="shared" si="18"/>
        <v>501–1000</v>
      </c>
      <c r="H622" s="1">
        <v>1554.4</v>
      </c>
      <c r="I622" t="str">
        <f t="shared" si="19"/>
        <v>1501–2000</v>
      </c>
      <c r="J622" t="s">
        <v>11</v>
      </c>
      <c r="K622" t="str">
        <f>IF(logistics_classification_dataset__1[[#This Row],[Customer_Segment]]="Bireysel","Individual",IF(logistics_classification_dataset__1[[#This Row],[Customer_Segment]]="Kurumsal","Corporate"))</f>
        <v>Individual</v>
      </c>
      <c r="L622">
        <v>1</v>
      </c>
    </row>
    <row r="623" spans="1:12" x14ac:dyDescent="0.35">
      <c r="A623">
        <v>622</v>
      </c>
      <c r="B623" t="s">
        <v>21</v>
      </c>
      <c r="C623" t="s">
        <v>8</v>
      </c>
      <c r="D623" t="s">
        <v>19</v>
      </c>
      <c r="E623" t="str">
        <f>IF(logistics_classification_dataset__1[[#This Row],[Shipment_Type]]="Kara","Road",IF(logistics_classification_dataset__1[[#This Row],[Shipment_Type]]="Hava","Air",IF(logistics_classification_dataset__1[[#This Row],[Shipment_Type]]="Deniz","Sea")))</f>
        <v>Sea</v>
      </c>
      <c r="F623">
        <v>31.44</v>
      </c>
      <c r="G623" t="str">
        <f t="shared" si="18"/>
        <v>0–500</v>
      </c>
      <c r="H623" s="1">
        <v>1321.2</v>
      </c>
      <c r="I623" t="str">
        <f t="shared" si="19"/>
        <v>1001–1500</v>
      </c>
      <c r="J623" t="s">
        <v>14</v>
      </c>
      <c r="K623" t="str">
        <f>IF(logistics_classification_dataset__1[[#This Row],[Customer_Segment]]="Bireysel","Individual",IF(logistics_classification_dataset__1[[#This Row],[Customer_Segment]]="Kurumsal","Corporate"))</f>
        <v>Corporate</v>
      </c>
      <c r="L623">
        <v>1</v>
      </c>
    </row>
    <row r="624" spans="1:12" x14ac:dyDescent="0.35">
      <c r="A624">
        <v>623</v>
      </c>
      <c r="B624" t="s">
        <v>9</v>
      </c>
      <c r="C624" t="s">
        <v>22</v>
      </c>
      <c r="D624" t="s">
        <v>15</v>
      </c>
      <c r="E624" t="str">
        <f>IF(logistics_classification_dataset__1[[#This Row],[Shipment_Type]]="Kara","Road",IF(logistics_classification_dataset__1[[#This Row],[Shipment_Type]]="Hava","Air",IF(logistics_classification_dataset__1[[#This Row],[Shipment_Type]]="Deniz","Sea")))</f>
        <v>Air</v>
      </c>
      <c r="F624">
        <v>595.41</v>
      </c>
      <c r="G624" t="str">
        <f t="shared" si="18"/>
        <v>501–1000</v>
      </c>
      <c r="H624" s="1">
        <v>1673.2</v>
      </c>
      <c r="I624" t="str">
        <f t="shared" si="19"/>
        <v>1501–2000</v>
      </c>
      <c r="J624" t="s">
        <v>14</v>
      </c>
      <c r="K624" t="str">
        <f>IF(logistics_classification_dataset__1[[#This Row],[Customer_Segment]]="Bireysel","Individual",IF(logistics_classification_dataset__1[[#This Row],[Customer_Segment]]="Kurumsal","Corporate"))</f>
        <v>Corporate</v>
      </c>
      <c r="L624">
        <v>1</v>
      </c>
    </row>
    <row r="625" spans="1:12" x14ac:dyDescent="0.35">
      <c r="A625">
        <v>624</v>
      </c>
      <c r="B625" t="s">
        <v>20</v>
      </c>
      <c r="C625" t="s">
        <v>21</v>
      </c>
      <c r="D625" t="s">
        <v>15</v>
      </c>
      <c r="E625" t="str">
        <f>IF(logistics_classification_dataset__1[[#This Row],[Shipment_Type]]="Kara","Road",IF(logistics_classification_dataset__1[[#This Row],[Shipment_Type]]="Hava","Air",IF(logistics_classification_dataset__1[[#This Row],[Shipment_Type]]="Deniz","Sea")))</f>
        <v>Air</v>
      </c>
      <c r="F625">
        <v>921.08</v>
      </c>
      <c r="G625" t="str">
        <f t="shared" si="18"/>
        <v>501–1000</v>
      </c>
      <c r="H625" s="1">
        <v>1952.2</v>
      </c>
      <c r="I625" t="str">
        <f t="shared" si="19"/>
        <v>1501–2000</v>
      </c>
      <c r="J625" t="s">
        <v>11</v>
      </c>
      <c r="K625" t="str">
        <f>IF(logistics_classification_dataset__1[[#This Row],[Customer_Segment]]="Bireysel","Individual",IF(logistics_classification_dataset__1[[#This Row],[Customer_Segment]]="Kurumsal","Corporate"))</f>
        <v>Individual</v>
      </c>
      <c r="L625">
        <v>0</v>
      </c>
    </row>
    <row r="626" spans="1:12" x14ac:dyDescent="0.35">
      <c r="A626">
        <v>625</v>
      </c>
      <c r="B626" t="s">
        <v>9</v>
      </c>
      <c r="C626" t="s">
        <v>8</v>
      </c>
      <c r="D626" t="s">
        <v>15</v>
      </c>
      <c r="E626" t="str">
        <f>IF(logistics_classification_dataset__1[[#This Row],[Shipment_Type]]="Kara","Road",IF(logistics_classification_dataset__1[[#This Row],[Shipment_Type]]="Hava","Air",IF(logistics_classification_dataset__1[[#This Row],[Shipment_Type]]="Deniz","Sea")))</f>
        <v>Air</v>
      </c>
      <c r="F626">
        <v>825.13</v>
      </c>
      <c r="G626" t="str">
        <f t="shared" si="18"/>
        <v>501–1000</v>
      </c>
      <c r="H626" s="1">
        <v>974.6</v>
      </c>
      <c r="I626" t="str">
        <f t="shared" si="19"/>
        <v>501–1000</v>
      </c>
      <c r="J626" t="s">
        <v>11</v>
      </c>
      <c r="K626" t="str">
        <f>IF(logistics_classification_dataset__1[[#This Row],[Customer_Segment]]="Bireysel","Individual",IF(logistics_classification_dataset__1[[#This Row],[Customer_Segment]]="Kurumsal","Corporate"))</f>
        <v>Individual</v>
      </c>
      <c r="L626">
        <v>1</v>
      </c>
    </row>
    <row r="627" spans="1:12" x14ac:dyDescent="0.35">
      <c r="A627">
        <v>626</v>
      </c>
      <c r="B627" t="s">
        <v>16</v>
      </c>
      <c r="C627" t="s">
        <v>17</v>
      </c>
      <c r="D627" t="s">
        <v>19</v>
      </c>
      <c r="E627" t="str">
        <f>IF(logistics_classification_dataset__1[[#This Row],[Shipment_Type]]="Kara","Road",IF(logistics_classification_dataset__1[[#This Row],[Shipment_Type]]="Hava","Air",IF(logistics_classification_dataset__1[[#This Row],[Shipment_Type]]="Deniz","Sea")))</f>
        <v>Sea</v>
      </c>
      <c r="F627">
        <v>1445.25</v>
      </c>
      <c r="G627" t="str">
        <f t="shared" si="18"/>
        <v>1001–1500</v>
      </c>
      <c r="H627" s="1">
        <v>180.1</v>
      </c>
      <c r="I627" t="str">
        <f t="shared" si="19"/>
        <v>0–500</v>
      </c>
      <c r="J627" t="s">
        <v>11</v>
      </c>
      <c r="K627" t="str">
        <f>IF(logistics_classification_dataset__1[[#This Row],[Customer_Segment]]="Bireysel","Individual",IF(logistics_classification_dataset__1[[#This Row],[Customer_Segment]]="Kurumsal","Corporate"))</f>
        <v>Individual</v>
      </c>
      <c r="L627">
        <v>1</v>
      </c>
    </row>
    <row r="628" spans="1:12" x14ac:dyDescent="0.35">
      <c r="A628">
        <v>627</v>
      </c>
      <c r="B628" t="s">
        <v>12</v>
      </c>
      <c r="C628" t="s">
        <v>17</v>
      </c>
      <c r="D628" t="s">
        <v>15</v>
      </c>
      <c r="E628" t="str">
        <f>IF(logistics_classification_dataset__1[[#This Row],[Shipment_Type]]="Kara","Road",IF(logistics_classification_dataset__1[[#This Row],[Shipment_Type]]="Hava","Air",IF(logistics_classification_dataset__1[[#This Row],[Shipment_Type]]="Deniz","Sea")))</f>
        <v>Air</v>
      </c>
      <c r="F628">
        <v>772.68</v>
      </c>
      <c r="G628" t="str">
        <f t="shared" si="18"/>
        <v>501–1000</v>
      </c>
      <c r="H628" s="1">
        <v>143.80000000000001</v>
      </c>
      <c r="I628" t="str">
        <f t="shared" si="19"/>
        <v>0–500</v>
      </c>
      <c r="J628" t="s">
        <v>11</v>
      </c>
      <c r="K628" t="str">
        <f>IF(logistics_classification_dataset__1[[#This Row],[Customer_Segment]]="Bireysel","Individual",IF(logistics_classification_dataset__1[[#This Row],[Customer_Segment]]="Kurumsal","Corporate"))</f>
        <v>Individual</v>
      </c>
      <c r="L628">
        <v>0</v>
      </c>
    </row>
    <row r="629" spans="1:12" x14ac:dyDescent="0.35">
      <c r="A629">
        <v>628</v>
      </c>
      <c r="B629" t="s">
        <v>18</v>
      </c>
      <c r="C629" t="s">
        <v>22</v>
      </c>
      <c r="D629" t="s">
        <v>10</v>
      </c>
      <c r="E629" t="str">
        <f>IF(logistics_classification_dataset__1[[#This Row],[Shipment_Type]]="Kara","Road",IF(logistics_classification_dataset__1[[#This Row],[Shipment_Type]]="Hava","Air",IF(logistics_classification_dataset__1[[#This Row],[Shipment_Type]]="Deniz","Sea")))</f>
        <v>Road</v>
      </c>
      <c r="F629">
        <v>981.31</v>
      </c>
      <c r="G629" t="str">
        <f t="shared" si="18"/>
        <v>501–1000</v>
      </c>
      <c r="H629" s="1">
        <v>626.5</v>
      </c>
      <c r="I629" t="str">
        <f t="shared" si="19"/>
        <v>501–1000</v>
      </c>
      <c r="J629" t="s">
        <v>11</v>
      </c>
      <c r="K629" t="str">
        <f>IF(logistics_classification_dataset__1[[#This Row],[Customer_Segment]]="Bireysel","Individual",IF(logistics_classification_dataset__1[[#This Row],[Customer_Segment]]="Kurumsal","Corporate"))</f>
        <v>Individual</v>
      </c>
      <c r="L629">
        <v>1</v>
      </c>
    </row>
    <row r="630" spans="1:12" x14ac:dyDescent="0.35">
      <c r="A630">
        <v>629</v>
      </c>
      <c r="B630" t="s">
        <v>21</v>
      </c>
      <c r="C630" t="s">
        <v>22</v>
      </c>
      <c r="D630" t="s">
        <v>15</v>
      </c>
      <c r="E630" t="str">
        <f>IF(logistics_classification_dataset__1[[#This Row],[Shipment_Type]]="Kara","Road",IF(logistics_classification_dataset__1[[#This Row],[Shipment_Type]]="Hava","Air",IF(logistics_classification_dataset__1[[#This Row],[Shipment_Type]]="Deniz","Sea")))</f>
        <v>Air</v>
      </c>
      <c r="F630">
        <v>862.07</v>
      </c>
      <c r="G630" t="str">
        <f t="shared" si="18"/>
        <v>501–1000</v>
      </c>
      <c r="H630" s="1">
        <v>1868.5</v>
      </c>
      <c r="I630" t="str">
        <f t="shared" si="19"/>
        <v>1501–2000</v>
      </c>
      <c r="J630" t="s">
        <v>11</v>
      </c>
      <c r="K630" t="str">
        <f>IF(logistics_classification_dataset__1[[#This Row],[Customer_Segment]]="Bireysel","Individual",IF(logistics_classification_dataset__1[[#This Row],[Customer_Segment]]="Kurumsal","Corporate"))</f>
        <v>Individual</v>
      </c>
      <c r="L630">
        <v>1</v>
      </c>
    </row>
    <row r="631" spans="1:12" x14ac:dyDescent="0.35">
      <c r="A631">
        <v>630</v>
      </c>
      <c r="B631" t="s">
        <v>22</v>
      </c>
      <c r="C631" t="s">
        <v>17</v>
      </c>
      <c r="D631" t="s">
        <v>10</v>
      </c>
      <c r="E631" t="str">
        <f>IF(logistics_classification_dataset__1[[#This Row],[Shipment_Type]]="Kara","Road",IF(logistics_classification_dataset__1[[#This Row],[Shipment_Type]]="Hava","Air",IF(logistics_classification_dataset__1[[#This Row],[Shipment_Type]]="Deniz","Sea")))</f>
        <v>Road</v>
      </c>
      <c r="F631">
        <v>1482.55</v>
      </c>
      <c r="G631" t="str">
        <f t="shared" si="18"/>
        <v>1001–1500</v>
      </c>
      <c r="H631" s="1">
        <v>1070.3</v>
      </c>
      <c r="I631" t="str">
        <f t="shared" si="19"/>
        <v>1001–1500</v>
      </c>
      <c r="J631" t="s">
        <v>11</v>
      </c>
      <c r="K631" t="str">
        <f>IF(logistics_classification_dataset__1[[#This Row],[Customer_Segment]]="Bireysel","Individual",IF(logistics_classification_dataset__1[[#This Row],[Customer_Segment]]="Kurumsal","Corporate"))</f>
        <v>Individual</v>
      </c>
      <c r="L631">
        <v>1</v>
      </c>
    </row>
    <row r="632" spans="1:12" x14ac:dyDescent="0.35">
      <c r="A632">
        <v>631</v>
      </c>
      <c r="B632" t="s">
        <v>18</v>
      </c>
      <c r="C632" t="s">
        <v>8</v>
      </c>
      <c r="D632" t="s">
        <v>15</v>
      </c>
      <c r="E632" t="str">
        <f>IF(logistics_classification_dataset__1[[#This Row],[Shipment_Type]]="Kara","Road",IF(logistics_classification_dataset__1[[#This Row],[Shipment_Type]]="Hava","Air",IF(logistics_classification_dataset__1[[#This Row],[Shipment_Type]]="Deniz","Sea")))</f>
        <v>Air</v>
      </c>
      <c r="F632">
        <v>1726.63</v>
      </c>
      <c r="G632" t="str">
        <f t="shared" si="18"/>
        <v>1501–2000</v>
      </c>
      <c r="H632" s="1">
        <v>580</v>
      </c>
      <c r="I632" t="str">
        <f t="shared" si="19"/>
        <v>501–1000</v>
      </c>
      <c r="J632" t="s">
        <v>11</v>
      </c>
      <c r="K632" t="str">
        <f>IF(logistics_classification_dataset__1[[#This Row],[Customer_Segment]]="Bireysel","Individual",IF(logistics_classification_dataset__1[[#This Row],[Customer_Segment]]="Kurumsal","Corporate"))</f>
        <v>Individual</v>
      </c>
      <c r="L632">
        <v>1</v>
      </c>
    </row>
    <row r="633" spans="1:12" x14ac:dyDescent="0.35">
      <c r="A633">
        <v>632</v>
      </c>
      <c r="B633" t="s">
        <v>16</v>
      </c>
      <c r="C633" t="s">
        <v>9</v>
      </c>
      <c r="D633" t="s">
        <v>10</v>
      </c>
      <c r="E633" t="str">
        <f>IF(logistics_classification_dataset__1[[#This Row],[Shipment_Type]]="Kara","Road",IF(logistics_classification_dataset__1[[#This Row],[Shipment_Type]]="Hava","Air",IF(logistics_classification_dataset__1[[#This Row],[Shipment_Type]]="Deniz","Sea")))</f>
        <v>Road</v>
      </c>
      <c r="F633">
        <v>1066.1199999999999</v>
      </c>
      <c r="G633" t="str">
        <f t="shared" si="18"/>
        <v>1001–1500</v>
      </c>
      <c r="H633" s="1">
        <v>828.4</v>
      </c>
      <c r="I633" t="str">
        <f t="shared" si="19"/>
        <v>501–1000</v>
      </c>
      <c r="J633" t="s">
        <v>14</v>
      </c>
      <c r="K633" t="str">
        <f>IF(logistics_classification_dataset__1[[#This Row],[Customer_Segment]]="Bireysel","Individual",IF(logistics_classification_dataset__1[[#This Row],[Customer_Segment]]="Kurumsal","Corporate"))</f>
        <v>Corporate</v>
      </c>
      <c r="L633">
        <v>1</v>
      </c>
    </row>
    <row r="634" spans="1:12" x14ac:dyDescent="0.35">
      <c r="A634">
        <v>633</v>
      </c>
      <c r="B634" t="s">
        <v>20</v>
      </c>
      <c r="C634" t="s">
        <v>13</v>
      </c>
      <c r="D634" t="s">
        <v>10</v>
      </c>
      <c r="E634" t="str">
        <f>IF(logistics_classification_dataset__1[[#This Row],[Shipment_Type]]="Kara","Road",IF(logistics_classification_dataset__1[[#This Row],[Shipment_Type]]="Hava","Air",IF(logistics_classification_dataset__1[[#This Row],[Shipment_Type]]="Deniz","Sea")))</f>
        <v>Road</v>
      </c>
      <c r="F634">
        <v>1579.92</v>
      </c>
      <c r="G634" t="str">
        <f t="shared" si="18"/>
        <v>1501–2000</v>
      </c>
      <c r="H634" s="1">
        <v>1217.3</v>
      </c>
      <c r="I634" t="str">
        <f t="shared" si="19"/>
        <v>1001–1500</v>
      </c>
      <c r="J634" t="s">
        <v>11</v>
      </c>
      <c r="K634" t="str">
        <f>IF(logistics_classification_dataset__1[[#This Row],[Customer_Segment]]="Bireysel","Individual",IF(logistics_classification_dataset__1[[#This Row],[Customer_Segment]]="Kurumsal","Corporate"))</f>
        <v>Individual</v>
      </c>
      <c r="L634">
        <v>1</v>
      </c>
    </row>
    <row r="635" spans="1:12" x14ac:dyDescent="0.35">
      <c r="A635">
        <v>634</v>
      </c>
      <c r="B635" t="s">
        <v>22</v>
      </c>
      <c r="C635" t="s">
        <v>18</v>
      </c>
      <c r="D635" t="s">
        <v>10</v>
      </c>
      <c r="E635" t="str">
        <f>IF(logistics_classification_dataset__1[[#This Row],[Shipment_Type]]="Kara","Road",IF(logistics_classification_dataset__1[[#This Row],[Shipment_Type]]="Hava","Air",IF(logistics_classification_dataset__1[[#This Row],[Shipment_Type]]="Deniz","Sea")))</f>
        <v>Road</v>
      </c>
      <c r="F635">
        <v>597.09</v>
      </c>
      <c r="G635" t="str">
        <f t="shared" si="18"/>
        <v>501–1000</v>
      </c>
      <c r="H635" s="1">
        <v>1323.3</v>
      </c>
      <c r="I635" t="str">
        <f t="shared" si="19"/>
        <v>1001–1500</v>
      </c>
      <c r="J635" t="s">
        <v>11</v>
      </c>
      <c r="K635" t="str">
        <f>IF(logistics_classification_dataset__1[[#This Row],[Customer_Segment]]="Bireysel","Individual",IF(logistics_classification_dataset__1[[#This Row],[Customer_Segment]]="Kurumsal","Corporate"))</f>
        <v>Individual</v>
      </c>
      <c r="L635">
        <v>1</v>
      </c>
    </row>
    <row r="636" spans="1:12" x14ac:dyDescent="0.35">
      <c r="A636">
        <v>635</v>
      </c>
      <c r="B636" t="s">
        <v>17</v>
      </c>
      <c r="C636" t="s">
        <v>21</v>
      </c>
      <c r="D636" t="s">
        <v>10</v>
      </c>
      <c r="E636" t="str">
        <f>IF(logistics_classification_dataset__1[[#This Row],[Shipment_Type]]="Kara","Road",IF(logistics_classification_dataset__1[[#This Row],[Shipment_Type]]="Hava","Air",IF(logistics_classification_dataset__1[[#This Row],[Shipment_Type]]="Deniz","Sea")))</f>
        <v>Road</v>
      </c>
      <c r="F636">
        <v>1085.03</v>
      </c>
      <c r="G636" t="str">
        <f t="shared" si="18"/>
        <v>1001–1500</v>
      </c>
      <c r="H636" s="1">
        <v>350.1</v>
      </c>
      <c r="I636" t="str">
        <f t="shared" si="19"/>
        <v>0–500</v>
      </c>
      <c r="J636" t="s">
        <v>11</v>
      </c>
      <c r="K636" t="str">
        <f>IF(logistics_classification_dataset__1[[#This Row],[Customer_Segment]]="Bireysel","Individual",IF(logistics_classification_dataset__1[[#This Row],[Customer_Segment]]="Kurumsal","Corporate"))</f>
        <v>Individual</v>
      </c>
      <c r="L636">
        <v>1</v>
      </c>
    </row>
    <row r="637" spans="1:12" x14ac:dyDescent="0.35">
      <c r="A637">
        <v>636</v>
      </c>
      <c r="B637" t="s">
        <v>13</v>
      </c>
      <c r="C637" t="s">
        <v>20</v>
      </c>
      <c r="D637" t="s">
        <v>10</v>
      </c>
      <c r="E637" t="str">
        <f>IF(logistics_classification_dataset__1[[#This Row],[Shipment_Type]]="Kara","Road",IF(logistics_classification_dataset__1[[#This Row],[Shipment_Type]]="Hava","Air",IF(logistics_classification_dataset__1[[#This Row],[Shipment_Type]]="Deniz","Sea")))</f>
        <v>Road</v>
      </c>
      <c r="F637">
        <v>693.73</v>
      </c>
      <c r="G637" t="str">
        <f t="shared" si="18"/>
        <v>501–1000</v>
      </c>
      <c r="H637" s="1">
        <v>1955.2</v>
      </c>
      <c r="I637" t="str">
        <f t="shared" si="19"/>
        <v>1501–2000</v>
      </c>
      <c r="J637" t="s">
        <v>11</v>
      </c>
      <c r="K637" t="str">
        <f>IF(logistics_classification_dataset__1[[#This Row],[Customer_Segment]]="Bireysel","Individual",IF(logistics_classification_dataset__1[[#This Row],[Customer_Segment]]="Kurumsal","Corporate"))</f>
        <v>Individual</v>
      </c>
      <c r="L637">
        <v>1</v>
      </c>
    </row>
    <row r="638" spans="1:12" x14ac:dyDescent="0.35">
      <c r="A638">
        <v>637</v>
      </c>
      <c r="B638" t="s">
        <v>22</v>
      </c>
      <c r="C638" t="s">
        <v>21</v>
      </c>
      <c r="D638" t="s">
        <v>10</v>
      </c>
      <c r="E638" t="str">
        <f>IF(logistics_classification_dataset__1[[#This Row],[Shipment_Type]]="Kara","Road",IF(logistics_classification_dataset__1[[#This Row],[Shipment_Type]]="Hava","Air",IF(logistics_classification_dataset__1[[#This Row],[Shipment_Type]]="Deniz","Sea")))</f>
        <v>Road</v>
      </c>
      <c r="F638">
        <v>831.33</v>
      </c>
      <c r="G638" t="str">
        <f t="shared" si="18"/>
        <v>501–1000</v>
      </c>
      <c r="H638" s="1">
        <v>1112.3</v>
      </c>
      <c r="I638" t="str">
        <f t="shared" si="19"/>
        <v>1001–1500</v>
      </c>
      <c r="J638" t="s">
        <v>11</v>
      </c>
      <c r="K638" t="str">
        <f>IF(logistics_classification_dataset__1[[#This Row],[Customer_Segment]]="Bireysel","Individual",IF(logistics_classification_dataset__1[[#This Row],[Customer_Segment]]="Kurumsal","Corporate"))</f>
        <v>Individual</v>
      </c>
      <c r="L638">
        <v>1</v>
      </c>
    </row>
    <row r="639" spans="1:12" x14ac:dyDescent="0.35">
      <c r="A639">
        <v>638</v>
      </c>
      <c r="B639" t="s">
        <v>16</v>
      </c>
      <c r="C639" t="s">
        <v>20</v>
      </c>
      <c r="D639" t="s">
        <v>10</v>
      </c>
      <c r="E639" t="str">
        <f>IF(logistics_classification_dataset__1[[#This Row],[Shipment_Type]]="Kara","Road",IF(logistics_classification_dataset__1[[#This Row],[Shipment_Type]]="Hava","Air",IF(logistics_classification_dataset__1[[#This Row],[Shipment_Type]]="Deniz","Sea")))</f>
        <v>Road</v>
      </c>
      <c r="F639">
        <v>1466.17</v>
      </c>
      <c r="G639" t="str">
        <f t="shared" si="18"/>
        <v>1001–1500</v>
      </c>
      <c r="H639" s="1">
        <v>314.60000000000002</v>
      </c>
      <c r="I639" t="str">
        <f t="shared" si="19"/>
        <v>0–500</v>
      </c>
      <c r="J639" t="s">
        <v>14</v>
      </c>
      <c r="K639" t="str">
        <f>IF(logistics_classification_dataset__1[[#This Row],[Customer_Segment]]="Bireysel","Individual",IF(logistics_classification_dataset__1[[#This Row],[Customer_Segment]]="Kurumsal","Corporate"))</f>
        <v>Corporate</v>
      </c>
      <c r="L639">
        <v>1</v>
      </c>
    </row>
    <row r="640" spans="1:12" x14ac:dyDescent="0.35">
      <c r="A640">
        <v>639</v>
      </c>
      <c r="B640" t="s">
        <v>8</v>
      </c>
      <c r="C640" t="s">
        <v>22</v>
      </c>
      <c r="D640" t="s">
        <v>10</v>
      </c>
      <c r="E640" t="str">
        <f>IF(logistics_classification_dataset__1[[#This Row],[Shipment_Type]]="Kara","Road",IF(logistics_classification_dataset__1[[#This Row],[Shipment_Type]]="Hava","Air",IF(logistics_classification_dataset__1[[#This Row],[Shipment_Type]]="Deniz","Sea")))</f>
        <v>Road</v>
      </c>
      <c r="F640">
        <v>1763.92</v>
      </c>
      <c r="G640" t="str">
        <f t="shared" si="18"/>
        <v>1501–2000</v>
      </c>
      <c r="H640" s="1">
        <v>1792.6</v>
      </c>
      <c r="I640" t="str">
        <f t="shared" si="19"/>
        <v>1501–2000</v>
      </c>
      <c r="J640" t="s">
        <v>14</v>
      </c>
      <c r="K640" t="str">
        <f>IF(logistics_classification_dataset__1[[#This Row],[Customer_Segment]]="Bireysel","Individual",IF(logistics_classification_dataset__1[[#This Row],[Customer_Segment]]="Kurumsal","Corporate"))</f>
        <v>Corporate</v>
      </c>
      <c r="L640">
        <v>1</v>
      </c>
    </row>
    <row r="641" spans="1:12" x14ac:dyDescent="0.35">
      <c r="A641">
        <v>640</v>
      </c>
      <c r="B641" t="s">
        <v>13</v>
      </c>
      <c r="C641" t="s">
        <v>20</v>
      </c>
      <c r="D641" t="s">
        <v>15</v>
      </c>
      <c r="E641" t="str">
        <f>IF(logistics_classification_dataset__1[[#This Row],[Shipment_Type]]="Kara","Road",IF(logistics_classification_dataset__1[[#This Row],[Shipment_Type]]="Hava","Air",IF(logistics_classification_dataset__1[[#This Row],[Shipment_Type]]="Deniz","Sea")))</f>
        <v>Air</v>
      </c>
      <c r="F641">
        <v>247.38</v>
      </c>
      <c r="G641" t="str">
        <f t="shared" si="18"/>
        <v>0–500</v>
      </c>
      <c r="H641" s="1">
        <v>195.5</v>
      </c>
      <c r="I641" t="str">
        <f t="shared" si="19"/>
        <v>0–500</v>
      </c>
      <c r="J641" t="s">
        <v>11</v>
      </c>
      <c r="K641" t="str">
        <f>IF(logistics_classification_dataset__1[[#This Row],[Customer_Segment]]="Bireysel","Individual",IF(logistics_classification_dataset__1[[#This Row],[Customer_Segment]]="Kurumsal","Corporate"))</f>
        <v>Individual</v>
      </c>
      <c r="L641">
        <v>0</v>
      </c>
    </row>
    <row r="642" spans="1:12" x14ac:dyDescent="0.35">
      <c r="A642">
        <v>641</v>
      </c>
      <c r="B642" t="s">
        <v>9</v>
      </c>
      <c r="C642" t="s">
        <v>22</v>
      </c>
      <c r="D642" t="s">
        <v>10</v>
      </c>
      <c r="E642" t="str">
        <f>IF(logistics_classification_dataset__1[[#This Row],[Shipment_Type]]="Kara","Road",IF(logistics_classification_dataset__1[[#This Row],[Shipment_Type]]="Hava","Air",IF(logistics_classification_dataset__1[[#This Row],[Shipment_Type]]="Deniz","Sea")))</f>
        <v>Road</v>
      </c>
      <c r="F642">
        <v>1271.1099999999999</v>
      </c>
      <c r="G642" t="str">
        <f t="shared" ref="G642:G705" si="20">IF(F642&lt;=500,"0–500",IF(F642&lt;=1000,"501–1000",IF(F642&lt;=1500,"1001–1500","1501–2000")))</f>
        <v>1001–1500</v>
      </c>
      <c r="H642" s="1">
        <v>1820.1</v>
      </c>
      <c r="I642" t="str">
        <f t="shared" ref="I642:I705" si="21">IF(H642&lt;=500,"0–500",IF(H642&lt;=1000,"501–1000",IF(H642&lt;=1500,"1001–1500",IF(H642&lt;=2000,"1501–2000","&gt;2000"))))</f>
        <v>1501–2000</v>
      </c>
      <c r="J642" t="s">
        <v>11</v>
      </c>
      <c r="K642" t="str">
        <f>IF(logistics_classification_dataset__1[[#This Row],[Customer_Segment]]="Bireysel","Individual",IF(logistics_classification_dataset__1[[#This Row],[Customer_Segment]]="Kurumsal","Corporate"))</f>
        <v>Individual</v>
      </c>
      <c r="L642">
        <v>1</v>
      </c>
    </row>
    <row r="643" spans="1:12" x14ac:dyDescent="0.35">
      <c r="A643">
        <v>642</v>
      </c>
      <c r="B643" t="s">
        <v>21</v>
      </c>
      <c r="C643" t="s">
        <v>13</v>
      </c>
      <c r="D643" t="s">
        <v>10</v>
      </c>
      <c r="E643" t="str">
        <f>IF(logistics_classification_dataset__1[[#This Row],[Shipment_Type]]="Kara","Road",IF(logistics_classification_dataset__1[[#This Row],[Shipment_Type]]="Hava","Air",IF(logistics_classification_dataset__1[[#This Row],[Shipment_Type]]="Deniz","Sea")))</f>
        <v>Road</v>
      </c>
      <c r="F643">
        <v>1166.3800000000001</v>
      </c>
      <c r="G643" t="str">
        <f t="shared" si="20"/>
        <v>1001–1500</v>
      </c>
      <c r="H643" s="1">
        <v>1993.3</v>
      </c>
      <c r="I643" t="str">
        <f t="shared" si="21"/>
        <v>1501–2000</v>
      </c>
      <c r="J643" t="s">
        <v>11</v>
      </c>
      <c r="K643" t="str">
        <f>IF(logistics_classification_dataset__1[[#This Row],[Customer_Segment]]="Bireysel","Individual",IF(logistics_classification_dataset__1[[#This Row],[Customer_Segment]]="Kurumsal","Corporate"))</f>
        <v>Individual</v>
      </c>
      <c r="L643">
        <v>1</v>
      </c>
    </row>
    <row r="644" spans="1:12" x14ac:dyDescent="0.35">
      <c r="A644">
        <v>643</v>
      </c>
      <c r="B644" t="s">
        <v>9</v>
      </c>
      <c r="C644" t="s">
        <v>13</v>
      </c>
      <c r="D644" t="s">
        <v>15</v>
      </c>
      <c r="E644" t="str">
        <f>IF(logistics_classification_dataset__1[[#This Row],[Shipment_Type]]="Kara","Road",IF(logistics_classification_dataset__1[[#This Row],[Shipment_Type]]="Hava","Air",IF(logistics_classification_dataset__1[[#This Row],[Shipment_Type]]="Deniz","Sea")))</f>
        <v>Air</v>
      </c>
      <c r="F644">
        <v>241.24</v>
      </c>
      <c r="G644" t="str">
        <f t="shared" si="20"/>
        <v>0–500</v>
      </c>
      <c r="H644" s="1">
        <v>1415.8</v>
      </c>
      <c r="I644" t="str">
        <f t="shared" si="21"/>
        <v>1001–1500</v>
      </c>
      <c r="J644" t="s">
        <v>11</v>
      </c>
      <c r="K644" t="str">
        <f>IF(logistics_classification_dataset__1[[#This Row],[Customer_Segment]]="Bireysel","Individual",IF(logistics_classification_dataset__1[[#This Row],[Customer_Segment]]="Kurumsal","Corporate"))</f>
        <v>Individual</v>
      </c>
      <c r="L644">
        <v>1</v>
      </c>
    </row>
    <row r="645" spans="1:12" x14ac:dyDescent="0.35">
      <c r="A645">
        <v>644</v>
      </c>
      <c r="B645" t="s">
        <v>22</v>
      </c>
      <c r="C645" t="s">
        <v>21</v>
      </c>
      <c r="D645" t="s">
        <v>10</v>
      </c>
      <c r="E645" t="str">
        <f>IF(logistics_classification_dataset__1[[#This Row],[Shipment_Type]]="Kara","Road",IF(logistics_classification_dataset__1[[#This Row],[Shipment_Type]]="Hava","Air",IF(logistics_classification_dataset__1[[#This Row],[Shipment_Type]]="Deniz","Sea")))</f>
        <v>Road</v>
      </c>
      <c r="F645">
        <v>427.73</v>
      </c>
      <c r="G645" t="str">
        <f t="shared" si="20"/>
        <v>0–500</v>
      </c>
      <c r="H645" s="1">
        <v>1552.4</v>
      </c>
      <c r="I645" t="str">
        <f t="shared" si="21"/>
        <v>1501–2000</v>
      </c>
      <c r="J645" t="s">
        <v>14</v>
      </c>
      <c r="K645" t="str">
        <f>IF(logistics_classification_dataset__1[[#This Row],[Customer_Segment]]="Bireysel","Individual",IF(logistics_classification_dataset__1[[#This Row],[Customer_Segment]]="Kurumsal","Corporate"))</f>
        <v>Corporate</v>
      </c>
      <c r="L645">
        <v>1</v>
      </c>
    </row>
    <row r="646" spans="1:12" x14ac:dyDescent="0.35">
      <c r="A646">
        <v>645</v>
      </c>
      <c r="B646" t="s">
        <v>9</v>
      </c>
      <c r="C646" t="s">
        <v>12</v>
      </c>
      <c r="D646" t="s">
        <v>10</v>
      </c>
      <c r="E646" t="str">
        <f>IF(logistics_classification_dataset__1[[#This Row],[Shipment_Type]]="Kara","Road",IF(logistics_classification_dataset__1[[#This Row],[Shipment_Type]]="Hava","Air",IF(logistics_classification_dataset__1[[#This Row],[Shipment_Type]]="Deniz","Sea")))</f>
        <v>Road</v>
      </c>
      <c r="F646">
        <v>625.45000000000005</v>
      </c>
      <c r="G646" t="str">
        <f t="shared" si="20"/>
        <v>501–1000</v>
      </c>
      <c r="H646" s="1">
        <v>707.7</v>
      </c>
      <c r="I646" t="str">
        <f t="shared" si="21"/>
        <v>501–1000</v>
      </c>
      <c r="J646" t="s">
        <v>11</v>
      </c>
      <c r="K646" t="str">
        <f>IF(logistics_classification_dataset__1[[#This Row],[Customer_Segment]]="Bireysel","Individual",IF(logistics_classification_dataset__1[[#This Row],[Customer_Segment]]="Kurumsal","Corporate"))</f>
        <v>Individual</v>
      </c>
      <c r="L646">
        <v>1</v>
      </c>
    </row>
    <row r="647" spans="1:12" x14ac:dyDescent="0.35">
      <c r="A647">
        <v>646</v>
      </c>
      <c r="B647" t="s">
        <v>16</v>
      </c>
      <c r="C647" t="s">
        <v>8</v>
      </c>
      <c r="D647" t="s">
        <v>15</v>
      </c>
      <c r="E647" t="str">
        <f>IF(logistics_classification_dataset__1[[#This Row],[Shipment_Type]]="Kara","Road",IF(logistics_classification_dataset__1[[#This Row],[Shipment_Type]]="Hava","Air",IF(logistics_classification_dataset__1[[#This Row],[Shipment_Type]]="Deniz","Sea")))</f>
        <v>Air</v>
      </c>
      <c r="F647">
        <v>338.03</v>
      </c>
      <c r="G647" t="str">
        <f t="shared" si="20"/>
        <v>0–500</v>
      </c>
      <c r="H647" s="1">
        <v>1886.1</v>
      </c>
      <c r="I647" t="str">
        <f t="shared" si="21"/>
        <v>1501–2000</v>
      </c>
      <c r="J647" t="s">
        <v>11</v>
      </c>
      <c r="K647" t="str">
        <f>IF(logistics_classification_dataset__1[[#This Row],[Customer_Segment]]="Bireysel","Individual",IF(logistics_classification_dataset__1[[#This Row],[Customer_Segment]]="Kurumsal","Corporate"))</f>
        <v>Individual</v>
      </c>
      <c r="L647">
        <v>1</v>
      </c>
    </row>
    <row r="648" spans="1:12" x14ac:dyDescent="0.35">
      <c r="A648">
        <v>647</v>
      </c>
      <c r="B648" t="s">
        <v>17</v>
      </c>
      <c r="C648" t="s">
        <v>12</v>
      </c>
      <c r="D648" t="s">
        <v>15</v>
      </c>
      <c r="E648" t="str">
        <f>IF(logistics_classification_dataset__1[[#This Row],[Shipment_Type]]="Kara","Road",IF(logistics_classification_dataset__1[[#This Row],[Shipment_Type]]="Hava","Air",IF(logistics_classification_dataset__1[[#This Row],[Shipment_Type]]="Deniz","Sea")))</f>
        <v>Air</v>
      </c>
      <c r="F648">
        <v>491.24</v>
      </c>
      <c r="G648" t="str">
        <f t="shared" si="20"/>
        <v>0–500</v>
      </c>
      <c r="H648" s="1">
        <v>1082.9000000000001</v>
      </c>
      <c r="I648" t="str">
        <f t="shared" si="21"/>
        <v>1001–1500</v>
      </c>
      <c r="J648" t="s">
        <v>11</v>
      </c>
      <c r="K648" t="str">
        <f>IF(logistics_classification_dataset__1[[#This Row],[Customer_Segment]]="Bireysel","Individual",IF(logistics_classification_dataset__1[[#This Row],[Customer_Segment]]="Kurumsal","Corporate"))</f>
        <v>Individual</v>
      </c>
      <c r="L648">
        <v>1</v>
      </c>
    </row>
    <row r="649" spans="1:12" x14ac:dyDescent="0.35">
      <c r="A649">
        <v>648</v>
      </c>
      <c r="B649" t="s">
        <v>20</v>
      </c>
      <c r="C649" t="s">
        <v>12</v>
      </c>
      <c r="D649" t="s">
        <v>10</v>
      </c>
      <c r="E649" t="str">
        <f>IF(logistics_classification_dataset__1[[#This Row],[Shipment_Type]]="Kara","Road",IF(logistics_classification_dataset__1[[#This Row],[Shipment_Type]]="Hava","Air",IF(logistics_classification_dataset__1[[#This Row],[Shipment_Type]]="Deniz","Sea")))</f>
        <v>Road</v>
      </c>
      <c r="F649">
        <v>538.86</v>
      </c>
      <c r="G649" t="str">
        <f t="shared" si="20"/>
        <v>501–1000</v>
      </c>
      <c r="H649" s="1">
        <v>1478.2</v>
      </c>
      <c r="I649" t="str">
        <f t="shared" si="21"/>
        <v>1001–1500</v>
      </c>
      <c r="J649" t="s">
        <v>11</v>
      </c>
      <c r="K649" t="str">
        <f>IF(logistics_classification_dataset__1[[#This Row],[Customer_Segment]]="Bireysel","Individual",IF(logistics_classification_dataset__1[[#This Row],[Customer_Segment]]="Kurumsal","Corporate"))</f>
        <v>Individual</v>
      </c>
      <c r="L649">
        <v>0</v>
      </c>
    </row>
    <row r="650" spans="1:12" x14ac:dyDescent="0.35">
      <c r="A650">
        <v>649</v>
      </c>
      <c r="B650" t="s">
        <v>21</v>
      </c>
      <c r="C650" t="s">
        <v>18</v>
      </c>
      <c r="D650" t="s">
        <v>10</v>
      </c>
      <c r="E650" t="str">
        <f>IF(logistics_classification_dataset__1[[#This Row],[Shipment_Type]]="Kara","Road",IF(logistics_classification_dataset__1[[#This Row],[Shipment_Type]]="Hava","Air",IF(logistics_classification_dataset__1[[#This Row],[Shipment_Type]]="Deniz","Sea")))</f>
        <v>Road</v>
      </c>
      <c r="F650">
        <v>674.67</v>
      </c>
      <c r="G650" t="str">
        <f t="shared" si="20"/>
        <v>501–1000</v>
      </c>
      <c r="H650" s="1">
        <v>1852</v>
      </c>
      <c r="I650" t="str">
        <f t="shared" si="21"/>
        <v>1501–2000</v>
      </c>
      <c r="J650" t="s">
        <v>14</v>
      </c>
      <c r="K650" t="str">
        <f>IF(logistics_classification_dataset__1[[#This Row],[Customer_Segment]]="Bireysel","Individual",IF(logistics_classification_dataset__1[[#This Row],[Customer_Segment]]="Kurumsal","Corporate"))</f>
        <v>Corporate</v>
      </c>
      <c r="L650">
        <v>1</v>
      </c>
    </row>
    <row r="651" spans="1:12" x14ac:dyDescent="0.35">
      <c r="A651">
        <v>650</v>
      </c>
      <c r="B651" t="s">
        <v>9</v>
      </c>
      <c r="C651" t="s">
        <v>17</v>
      </c>
      <c r="D651" t="s">
        <v>19</v>
      </c>
      <c r="E651" t="str">
        <f>IF(logistics_classification_dataset__1[[#This Row],[Shipment_Type]]="Kara","Road",IF(logistics_classification_dataset__1[[#This Row],[Shipment_Type]]="Hava","Air",IF(logistics_classification_dataset__1[[#This Row],[Shipment_Type]]="Deniz","Sea")))</f>
        <v>Sea</v>
      </c>
      <c r="F651">
        <v>1500.03</v>
      </c>
      <c r="G651" t="str">
        <f t="shared" si="20"/>
        <v>1501–2000</v>
      </c>
      <c r="H651" s="1">
        <v>1951.6</v>
      </c>
      <c r="I651" t="str">
        <f t="shared" si="21"/>
        <v>1501–2000</v>
      </c>
      <c r="J651" t="s">
        <v>11</v>
      </c>
      <c r="K651" t="str">
        <f>IF(logistics_classification_dataset__1[[#This Row],[Customer_Segment]]="Bireysel","Individual",IF(logistics_classification_dataset__1[[#This Row],[Customer_Segment]]="Kurumsal","Corporate"))</f>
        <v>Individual</v>
      </c>
      <c r="L651">
        <v>1</v>
      </c>
    </row>
    <row r="652" spans="1:12" x14ac:dyDescent="0.35">
      <c r="A652">
        <v>651</v>
      </c>
      <c r="B652" t="s">
        <v>9</v>
      </c>
      <c r="C652" t="s">
        <v>21</v>
      </c>
      <c r="D652" t="s">
        <v>15</v>
      </c>
      <c r="E652" t="str">
        <f>IF(logistics_classification_dataset__1[[#This Row],[Shipment_Type]]="Kara","Road",IF(logistics_classification_dataset__1[[#This Row],[Shipment_Type]]="Hava","Air",IF(logistics_classification_dataset__1[[#This Row],[Shipment_Type]]="Deniz","Sea")))</f>
        <v>Air</v>
      </c>
      <c r="F652">
        <v>1145.96</v>
      </c>
      <c r="G652" t="str">
        <f t="shared" si="20"/>
        <v>1001–1500</v>
      </c>
      <c r="H652" s="1">
        <v>1674.7</v>
      </c>
      <c r="I652" t="str">
        <f t="shared" si="21"/>
        <v>1501–2000</v>
      </c>
      <c r="J652" t="s">
        <v>14</v>
      </c>
      <c r="K652" t="str">
        <f>IF(logistics_classification_dataset__1[[#This Row],[Customer_Segment]]="Bireysel","Individual",IF(logistics_classification_dataset__1[[#This Row],[Customer_Segment]]="Kurumsal","Corporate"))</f>
        <v>Corporate</v>
      </c>
      <c r="L652">
        <v>1</v>
      </c>
    </row>
    <row r="653" spans="1:12" x14ac:dyDescent="0.35">
      <c r="A653">
        <v>652</v>
      </c>
      <c r="B653" t="s">
        <v>22</v>
      </c>
      <c r="C653" t="s">
        <v>17</v>
      </c>
      <c r="D653" t="s">
        <v>10</v>
      </c>
      <c r="E653" t="str">
        <f>IF(logistics_classification_dataset__1[[#This Row],[Shipment_Type]]="Kara","Road",IF(logistics_classification_dataset__1[[#This Row],[Shipment_Type]]="Hava","Air",IF(logistics_classification_dataset__1[[#This Row],[Shipment_Type]]="Deniz","Sea")))</f>
        <v>Road</v>
      </c>
      <c r="F653">
        <v>1972.56</v>
      </c>
      <c r="G653" t="str">
        <f t="shared" si="20"/>
        <v>1501–2000</v>
      </c>
      <c r="H653" s="1">
        <v>640.9</v>
      </c>
      <c r="I653" t="str">
        <f t="shared" si="21"/>
        <v>501–1000</v>
      </c>
      <c r="J653" t="s">
        <v>11</v>
      </c>
      <c r="K653" t="str">
        <f>IF(logistics_classification_dataset__1[[#This Row],[Customer_Segment]]="Bireysel","Individual",IF(logistics_classification_dataset__1[[#This Row],[Customer_Segment]]="Kurumsal","Corporate"))</f>
        <v>Individual</v>
      </c>
      <c r="L653">
        <v>1</v>
      </c>
    </row>
    <row r="654" spans="1:12" x14ac:dyDescent="0.35">
      <c r="A654">
        <v>653</v>
      </c>
      <c r="B654" t="s">
        <v>20</v>
      </c>
      <c r="C654" t="s">
        <v>18</v>
      </c>
      <c r="D654" t="s">
        <v>15</v>
      </c>
      <c r="E654" t="str">
        <f>IF(logistics_classification_dataset__1[[#This Row],[Shipment_Type]]="Kara","Road",IF(logistics_classification_dataset__1[[#This Row],[Shipment_Type]]="Hava","Air",IF(logistics_classification_dataset__1[[#This Row],[Shipment_Type]]="Deniz","Sea")))</f>
        <v>Air</v>
      </c>
      <c r="F654">
        <v>83.24</v>
      </c>
      <c r="G654" t="str">
        <f t="shared" si="20"/>
        <v>0–500</v>
      </c>
      <c r="H654" s="1">
        <v>1934.8</v>
      </c>
      <c r="I654" t="str">
        <f t="shared" si="21"/>
        <v>1501–2000</v>
      </c>
      <c r="J654" t="s">
        <v>14</v>
      </c>
      <c r="K654" t="str">
        <f>IF(logistics_classification_dataset__1[[#This Row],[Customer_Segment]]="Bireysel","Individual",IF(logistics_classification_dataset__1[[#This Row],[Customer_Segment]]="Kurumsal","Corporate"))</f>
        <v>Corporate</v>
      </c>
      <c r="L654">
        <v>1</v>
      </c>
    </row>
    <row r="655" spans="1:12" x14ac:dyDescent="0.35">
      <c r="A655">
        <v>654</v>
      </c>
      <c r="B655" t="s">
        <v>18</v>
      </c>
      <c r="C655" t="s">
        <v>20</v>
      </c>
      <c r="D655" t="s">
        <v>10</v>
      </c>
      <c r="E655" t="str">
        <f>IF(logistics_classification_dataset__1[[#This Row],[Shipment_Type]]="Kara","Road",IF(logistics_classification_dataset__1[[#This Row],[Shipment_Type]]="Hava","Air",IF(logistics_classification_dataset__1[[#This Row],[Shipment_Type]]="Deniz","Sea")))</f>
        <v>Road</v>
      </c>
      <c r="F655">
        <v>1508.96</v>
      </c>
      <c r="G655" t="str">
        <f t="shared" si="20"/>
        <v>1501–2000</v>
      </c>
      <c r="H655" s="1">
        <v>1274.8</v>
      </c>
      <c r="I655" t="str">
        <f t="shared" si="21"/>
        <v>1001–1500</v>
      </c>
      <c r="J655" t="s">
        <v>11</v>
      </c>
      <c r="K655" t="str">
        <f>IF(logistics_classification_dataset__1[[#This Row],[Customer_Segment]]="Bireysel","Individual",IF(logistics_classification_dataset__1[[#This Row],[Customer_Segment]]="Kurumsal","Corporate"))</f>
        <v>Individual</v>
      </c>
      <c r="L655">
        <v>1</v>
      </c>
    </row>
    <row r="656" spans="1:12" x14ac:dyDescent="0.35">
      <c r="A656">
        <v>655</v>
      </c>
      <c r="B656" t="s">
        <v>9</v>
      </c>
      <c r="C656" t="s">
        <v>17</v>
      </c>
      <c r="D656" t="s">
        <v>10</v>
      </c>
      <c r="E656" t="str">
        <f>IF(logistics_classification_dataset__1[[#This Row],[Shipment_Type]]="Kara","Road",IF(logistics_classification_dataset__1[[#This Row],[Shipment_Type]]="Hava","Air",IF(logistics_classification_dataset__1[[#This Row],[Shipment_Type]]="Deniz","Sea")))</f>
        <v>Road</v>
      </c>
      <c r="F656">
        <v>1743.58</v>
      </c>
      <c r="G656" t="str">
        <f t="shared" si="20"/>
        <v>1501–2000</v>
      </c>
      <c r="H656" s="1">
        <v>1864.8</v>
      </c>
      <c r="I656" t="str">
        <f t="shared" si="21"/>
        <v>1501–2000</v>
      </c>
      <c r="J656" t="s">
        <v>11</v>
      </c>
      <c r="K656" t="str">
        <f>IF(logistics_classification_dataset__1[[#This Row],[Customer_Segment]]="Bireysel","Individual",IF(logistics_classification_dataset__1[[#This Row],[Customer_Segment]]="Kurumsal","Corporate"))</f>
        <v>Individual</v>
      </c>
      <c r="L656">
        <v>1</v>
      </c>
    </row>
    <row r="657" spans="1:12" x14ac:dyDescent="0.35">
      <c r="A657">
        <v>656</v>
      </c>
      <c r="B657" t="s">
        <v>16</v>
      </c>
      <c r="C657" t="s">
        <v>22</v>
      </c>
      <c r="D657" t="s">
        <v>10</v>
      </c>
      <c r="E657" t="str">
        <f>IF(logistics_classification_dataset__1[[#This Row],[Shipment_Type]]="Kara","Road",IF(logistics_classification_dataset__1[[#This Row],[Shipment_Type]]="Hava","Air",IF(logistics_classification_dataset__1[[#This Row],[Shipment_Type]]="Deniz","Sea")))</f>
        <v>Road</v>
      </c>
      <c r="F657">
        <v>1359.56</v>
      </c>
      <c r="G657" t="str">
        <f t="shared" si="20"/>
        <v>1001–1500</v>
      </c>
      <c r="H657" s="1">
        <v>1368.4</v>
      </c>
      <c r="I657" t="str">
        <f t="shared" si="21"/>
        <v>1001–1500</v>
      </c>
      <c r="J657" t="s">
        <v>14</v>
      </c>
      <c r="K657" t="str">
        <f>IF(logistics_classification_dataset__1[[#This Row],[Customer_Segment]]="Bireysel","Individual",IF(logistics_classification_dataset__1[[#This Row],[Customer_Segment]]="Kurumsal","Corporate"))</f>
        <v>Corporate</v>
      </c>
      <c r="L657">
        <v>1</v>
      </c>
    </row>
    <row r="658" spans="1:12" x14ac:dyDescent="0.35">
      <c r="A658">
        <v>657</v>
      </c>
      <c r="B658" t="s">
        <v>8</v>
      </c>
      <c r="C658" t="s">
        <v>21</v>
      </c>
      <c r="D658" t="s">
        <v>15</v>
      </c>
      <c r="E658" t="str">
        <f>IF(logistics_classification_dataset__1[[#This Row],[Shipment_Type]]="Kara","Road",IF(logistics_classification_dataset__1[[#This Row],[Shipment_Type]]="Hava","Air",IF(logistics_classification_dataset__1[[#This Row],[Shipment_Type]]="Deniz","Sea")))</f>
        <v>Air</v>
      </c>
      <c r="F658">
        <v>826.67</v>
      </c>
      <c r="G658" t="str">
        <f t="shared" si="20"/>
        <v>501–1000</v>
      </c>
      <c r="H658" s="1">
        <v>649.1</v>
      </c>
      <c r="I658" t="str">
        <f t="shared" si="21"/>
        <v>501–1000</v>
      </c>
      <c r="J658" t="s">
        <v>11</v>
      </c>
      <c r="K658" t="str">
        <f>IF(logistics_classification_dataset__1[[#This Row],[Customer_Segment]]="Bireysel","Individual",IF(logistics_classification_dataset__1[[#This Row],[Customer_Segment]]="Kurumsal","Corporate"))</f>
        <v>Individual</v>
      </c>
      <c r="L658">
        <v>1</v>
      </c>
    </row>
    <row r="659" spans="1:12" x14ac:dyDescent="0.35">
      <c r="A659">
        <v>658</v>
      </c>
      <c r="B659" t="s">
        <v>21</v>
      </c>
      <c r="C659" t="s">
        <v>8</v>
      </c>
      <c r="D659" t="s">
        <v>10</v>
      </c>
      <c r="E659" t="str">
        <f>IF(logistics_classification_dataset__1[[#This Row],[Shipment_Type]]="Kara","Road",IF(logistics_classification_dataset__1[[#This Row],[Shipment_Type]]="Hava","Air",IF(logistics_classification_dataset__1[[#This Row],[Shipment_Type]]="Deniz","Sea")))</f>
        <v>Road</v>
      </c>
      <c r="F659">
        <v>1508.42</v>
      </c>
      <c r="G659" t="str">
        <f t="shared" si="20"/>
        <v>1501–2000</v>
      </c>
      <c r="H659" s="1">
        <v>771.5</v>
      </c>
      <c r="I659" t="str">
        <f t="shared" si="21"/>
        <v>501–1000</v>
      </c>
      <c r="J659" t="s">
        <v>11</v>
      </c>
      <c r="K659" t="str">
        <f>IF(logistics_classification_dataset__1[[#This Row],[Customer_Segment]]="Bireysel","Individual",IF(logistics_classification_dataset__1[[#This Row],[Customer_Segment]]="Kurumsal","Corporate"))</f>
        <v>Individual</v>
      </c>
      <c r="L659">
        <v>1</v>
      </c>
    </row>
    <row r="660" spans="1:12" x14ac:dyDescent="0.35">
      <c r="A660">
        <v>659</v>
      </c>
      <c r="B660" t="s">
        <v>9</v>
      </c>
      <c r="C660" t="s">
        <v>20</v>
      </c>
      <c r="D660" t="s">
        <v>15</v>
      </c>
      <c r="E660" t="str">
        <f>IF(logistics_classification_dataset__1[[#This Row],[Shipment_Type]]="Kara","Road",IF(logistics_classification_dataset__1[[#This Row],[Shipment_Type]]="Hava","Air",IF(logistics_classification_dataset__1[[#This Row],[Shipment_Type]]="Deniz","Sea")))</f>
        <v>Air</v>
      </c>
      <c r="F660">
        <v>411.32</v>
      </c>
      <c r="G660" t="str">
        <f t="shared" si="20"/>
        <v>0–500</v>
      </c>
      <c r="H660" s="1">
        <v>1123.4000000000001</v>
      </c>
      <c r="I660" t="str">
        <f t="shared" si="21"/>
        <v>1001–1500</v>
      </c>
      <c r="J660" t="s">
        <v>11</v>
      </c>
      <c r="K660" t="str">
        <f>IF(logistics_classification_dataset__1[[#This Row],[Customer_Segment]]="Bireysel","Individual",IF(logistics_classification_dataset__1[[#This Row],[Customer_Segment]]="Kurumsal","Corporate"))</f>
        <v>Individual</v>
      </c>
      <c r="L660">
        <v>1</v>
      </c>
    </row>
    <row r="661" spans="1:12" x14ac:dyDescent="0.35">
      <c r="A661">
        <v>660</v>
      </c>
      <c r="B661" t="s">
        <v>16</v>
      </c>
      <c r="C661" t="s">
        <v>18</v>
      </c>
      <c r="D661" t="s">
        <v>10</v>
      </c>
      <c r="E661" t="str">
        <f>IF(logistics_classification_dataset__1[[#This Row],[Shipment_Type]]="Kara","Road",IF(logistics_classification_dataset__1[[#This Row],[Shipment_Type]]="Hava","Air",IF(logistics_classification_dataset__1[[#This Row],[Shipment_Type]]="Deniz","Sea")))</f>
        <v>Road</v>
      </c>
      <c r="F661">
        <v>658.47</v>
      </c>
      <c r="G661" t="str">
        <f t="shared" si="20"/>
        <v>501–1000</v>
      </c>
      <c r="H661" s="1">
        <v>1590.5</v>
      </c>
      <c r="I661" t="str">
        <f t="shared" si="21"/>
        <v>1501–2000</v>
      </c>
      <c r="J661" t="s">
        <v>14</v>
      </c>
      <c r="K661" t="str">
        <f>IF(logistics_classification_dataset__1[[#This Row],[Customer_Segment]]="Bireysel","Individual",IF(logistics_classification_dataset__1[[#This Row],[Customer_Segment]]="Kurumsal","Corporate"))</f>
        <v>Corporate</v>
      </c>
      <c r="L661">
        <v>1</v>
      </c>
    </row>
    <row r="662" spans="1:12" x14ac:dyDescent="0.35">
      <c r="A662">
        <v>661</v>
      </c>
      <c r="B662" t="s">
        <v>16</v>
      </c>
      <c r="C662" t="s">
        <v>17</v>
      </c>
      <c r="D662" t="s">
        <v>10</v>
      </c>
      <c r="E662" t="str">
        <f>IF(logistics_classification_dataset__1[[#This Row],[Shipment_Type]]="Kara","Road",IF(logistics_classification_dataset__1[[#This Row],[Shipment_Type]]="Hava","Air",IF(logistics_classification_dataset__1[[#This Row],[Shipment_Type]]="Deniz","Sea")))</f>
        <v>Road</v>
      </c>
      <c r="F662">
        <v>1095.6400000000001</v>
      </c>
      <c r="G662" t="str">
        <f t="shared" si="20"/>
        <v>1001–1500</v>
      </c>
      <c r="H662" s="1">
        <v>670.1</v>
      </c>
      <c r="I662" t="str">
        <f t="shared" si="21"/>
        <v>501–1000</v>
      </c>
      <c r="J662" t="s">
        <v>11</v>
      </c>
      <c r="K662" t="str">
        <f>IF(logistics_classification_dataset__1[[#This Row],[Customer_Segment]]="Bireysel","Individual",IF(logistics_classification_dataset__1[[#This Row],[Customer_Segment]]="Kurumsal","Corporate"))</f>
        <v>Individual</v>
      </c>
      <c r="L662">
        <v>1</v>
      </c>
    </row>
    <row r="663" spans="1:12" x14ac:dyDescent="0.35">
      <c r="A663">
        <v>662</v>
      </c>
      <c r="B663" t="s">
        <v>21</v>
      </c>
      <c r="C663" t="s">
        <v>18</v>
      </c>
      <c r="D663" t="s">
        <v>10</v>
      </c>
      <c r="E663" t="str">
        <f>IF(logistics_classification_dataset__1[[#This Row],[Shipment_Type]]="Kara","Road",IF(logistics_classification_dataset__1[[#This Row],[Shipment_Type]]="Hava","Air",IF(logistics_classification_dataset__1[[#This Row],[Shipment_Type]]="Deniz","Sea")))</f>
        <v>Road</v>
      </c>
      <c r="F663">
        <v>1152.94</v>
      </c>
      <c r="G663" t="str">
        <f t="shared" si="20"/>
        <v>1001–1500</v>
      </c>
      <c r="H663" s="1">
        <v>1180.5</v>
      </c>
      <c r="I663" t="str">
        <f t="shared" si="21"/>
        <v>1001–1500</v>
      </c>
      <c r="J663" t="s">
        <v>14</v>
      </c>
      <c r="K663" t="str">
        <f>IF(logistics_classification_dataset__1[[#This Row],[Customer_Segment]]="Bireysel","Individual",IF(logistics_classification_dataset__1[[#This Row],[Customer_Segment]]="Kurumsal","Corporate"))</f>
        <v>Corporate</v>
      </c>
      <c r="L663">
        <v>1</v>
      </c>
    </row>
    <row r="664" spans="1:12" x14ac:dyDescent="0.35">
      <c r="A664">
        <v>663</v>
      </c>
      <c r="B664" t="s">
        <v>18</v>
      </c>
      <c r="C664" t="s">
        <v>8</v>
      </c>
      <c r="D664" t="s">
        <v>15</v>
      </c>
      <c r="E664" t="str">
        <f>IF(logistics_classification_dataset__1[[#This Row],[Shipment_Type]]="Kara","Road",IF(logistics_classification_dataset__1[[#This Row],[Shipment_Type]]="Hava","Air",IF(logistics_classification_dataset__1[[#This Row],[Shipment_Type]]="Deniz","Sea")))</f>
        <v>Air</v>
      </c>
      <c r="F664">
        <v>49.17</v>
      </c>
      <c r="G664" t="str">
        <f t="shared" si="20"/>
        <v>0–500</v>
      </c>
      <c r="H664" s="1">
        <v>724</v>
      </c>
      <c r="I664" t="str">
        <f t="shared" si="21"/>
        <v>501–1000</v>
      </c>
      <c r="J664" t="s">
        <v>11</v>
      </c>
      <c r="K664" t="str">
        <f>IF(logistics_classification_dataset__1[[#This Row],[Customer_Segment]]="Bireysel","Individual",IF(logistics_classification_dataset__1[[#This Row],[Customer_Segment]]="Kurumsal","Corporate"))</f>
        <v>Individual</v>
      </c>
      <c r="L664">
        <v>1</v>
      </c>
    </row>
    <row r="665" spans="1:12" x14ac:dyDescent="0.35">
      <c r="A665">
        <v>664</v>
      </c>
      <c r="B665" t="s">
        <v>16</v>
      </c>
      <c r="C665" t="s">
        <v>12</v>
      </c>
      <c r="D665" t="s">
        <v>10</v>
      </c>
      <c r="E665" t="str">
        <f>IF(logistics_classification_dataset__1[[#This Row],[Shipment_Type]]="Kara","Road",IF(logistics_classification_dataset__1[[#This Row],[Shipment_Type]]="Hava","Air",IF(logistics_classification_dataset__1[[#This Row],[Shipment_Type]]="Deniz","Sea")))</f>
        <v>Road</v>
      </c>
      <c r="F665">
        <v>189.05</v>
      </c>
      <c r="G665" t="str">
        <f t="shared" si="20"/>
        <v>0–500</v>
      </c>
      <c r="H665" s="1">
        <v>1640.8</v>
      </c>
      <c r="I665" t="str">
        <f t="shared" si="21"/>
        <v>1501–2000</v>
      </c>
      <c r="J665" t="s">
        <v>11</v>
      </c>
      <c r="K665" t="str">
        <f>IF(logistics_classification_dataset__1[[#This Row],[Customer_Segment]]="Bireysel","Individual",IF(logistics_classification_dataset__1[[#This Row],[Customer_Segment]]="Kurumsal","Corporate"))</f>
        <v>Individual</v>
      </c>
      <c r="L665">
        <v>0</v>
      </c>
    </row>
    <row r="666" spans="1:12" x14ac:dyDescent="0.35">
      <c r="A666">
        <v>665</v>
      </c>
      <c r="B666" t="s">
        <v>8</v>
      </c>
      <c r="C666" t="s">
        <v>13</v>
      </c>
      <c r="D666" t="s">
        <v>10</v>
      </c>
      <c r="E666" t="str">
        <f>IF(logistics_classification_dataset__1[[#This Row],[Shipment_Type]]="Kara","Road",IF(logistics_classification_dataset__1[[#This Row],[Shipment_Type]]="Hava","Air",IF(logistics_classification_dataset__1[[#This Row],[Shipment_Type]]="Deniz","Sea")))</f>
        <v>Road</v>
      </c>
      <c r="F666">
        <v>1394.77</v>
      </c>
      <c r="G666" t="str">
        <f t="shared" si="20"/>
        <v>1001–1500</v>
      </c>
      <c r="H666" s="1">
        <v>960.1</v>
      </c>
      <c r="I666" t="str">
        <f t="shared" si="21"/>
        <v>501–1000</v>
      </c>
      <c r="J666" t="s">
        <v>14</v>
      </c>
      <c r="K666" t="str">
        <f>IF(logistics_classification_dataset__1[[#This Row],[Customer_Segment]]="Bireysel","Individual",IF(logistics_classification_dataset__1[[#This Row],[Customer_Segment]]="Kurumsal","Corporate"))</f>
        <v>Corporate</v>
      </c>
      <c r="L666">
        <v>1</v>
      </c>
    </row>
    <row r="667" spans="1:12" x14ac:dyDescent="0.35">
      <c r="A667">
        <v>666</v>
      </c>
      <c r="B667" t="s">
        <v>16</v>
      </c>
      <c r="C667" t="s">
        <v>8</v>
      </c>
      <c r="D667" t="s">
        <v>15</v>
      </c>
      <c r="E667" t="str">
        <f>IF(logistics_classification_dataset__1[[#This Row],[Shipment_Type]]="Kara","Road",IF(logistics_classification_dataset__1[[#This Row],[Shipment_Type]]="Hava","Air",IF(logistics_classification_dataset__1[[#This Row],[Shipment_Type]]="Deniz","Sea")))</f>
        <v>Air</v>
      </c>
      <c r="F667">
        <v>993.93</v>
      </c>
      <c r="G667" t="str">
        <f t="shared" si="20"/>
        <v>501–1000</v>
      </c>
      <c r="H667" s="1">
        <v>199.6</v>
      </c>
      <c r="I667" t="str">
        <f t="shared" si="21"/>
        <v>0–500</v>
      </c>
      <c r="J667" t="s">
        <v>11</v>
      </c>
      <c r="K667" t="str">
        <f>IF(logistics_classification_dataset__1[[#This Row],[Customer_Segment]]="Bireysel","Individual",IF(logistics_classification_dataset__1[[#This Row],[Customer_Segment]]="Kurumsal","Corporate"))</f>
        <v>Individual</v>
      </c>
      <c r="L667">
        <v>1</v>
      </c>
    </row>
    <row r="668" spans="1:12" x14ac:dyDescent="0.35">
      <c r="A668">
        <v>667</v>
      </c>
      <c r="B668" t="s">
        <v>16</v>
      </c>
      <c r="C668" t="s">
        <v>21</v>
      </c>
      <c r="D668" t="s">
        <v>10</v>
      </c>
      <c r="E668" t="str">
        <f>IF(logistics_classification_dataset__1[[#This Row],[Shipment_Type]]="Kara","Road",IF(logistics_classification_dataset__1[[#This Row],[Shipment_Type]]="Hava","Air",IF(logistics_classification_dataset__1[[#This Row],[Shipment_Type]]="Deniz","Sea")))</f>
        <v>Road</v>
      </c>
      <c r="F668">
        <v>1866.59</v>
      </c>
      <c r="G668" t="str">
        <f t="shared" si="20"/>
        <v>1501–2000</v>
      </c>
      <c r="H668" s="1">
        <v>373.8</v>
      </c>
      <c r="I668" t="str">
        <f t="shared" si="21"/>
        <v>0–500</v>
      </c>
      <c r="J668" t="s">
        <v>14</v>
      </c>
      <c r="K668" t="str">
        <f>IF(logistics_classification_dataset__1[[#This Row],[Customer_Segment]]="Bireysel","Individual",IF(logistics_classification_dataset__1[[#This Row],[Customer_Segment]]="Kurumsal","Corporate"))</f>
        <v>Corporate</v>
      </c>
      <c r="L668">
        <v>1</v>
      </c>
    </row>
    <row r="669" spans="1:12" x14ac:dyDescent="0.35">
      <c r="A669">
        <v>668</v>
      </c>
      <c r="B669" t="s">
        <v>16</v>
      </c>
      <c r="C669" t="s">
        <v>8</v>
      </c>
      <c r="D669" t="s">
        <v>19</v>
      </c>
      <c r="E669" t="str">
        <f>IF(logistics_classification_dataset__1[[#This Row],[Shipment_Type]]="Kara","Road",IF(logistics_classification_dataset__1[[#This Row],[Shipment_Type]]="Hava","Air",IF(logistics_classification_dataset__1[[#This Row],[Shipment_Type]]="Deniz","Sea")))</f>
        <v>Sea</v>
      </c>
      <c r="F669">
        <v>88.1</v>
      </c>
      <c r="G669" t="str">
        <f t="shared" si="20"/>
        <v>0–500</v>
      </c>
      <c r="H669" s="1">
        <v>169.2</v>
      </c>
      <c r="I669" t="str">
        <f t="shared" si="21"/>
        <v>0–500</v>
      </c>
      <c r="J669" t="s">
        <v>14</v>
      </c>
      <c r="K669" t="str">
        <f>IF(logistics_classification_dataset__1[[#This Row],[Customer_Segment]]="Bireysel","Individual",IF(logistics_classification_dataset__1[[#This Row],[Customer_Segment]]="Kurumsal","Corporate"))</f>
        <v>Corporate</v>
      </c>
      <c r="L669">
        <v>1</v>
      </c>
    </row>
    <row r="670" spans="1:12" x14ac:dyDescent="0.35">
      <c r="A670">
        <v>669</v>
      </c>
      <c r="B670" t="s">
        <v>17</v>
      </c>
      <c r="C670" t="s">
        <v>18</v>
      </c>
      <c r="D670" t="s">
        <v>10</v>
      </c>
      <c r="E670" t="str">
        <f>IF(logistics_classification_dataset__1[[#This Row],[Shipment_Type]]="Kara","Road",IF(logistics_classification_dataset__1[[#This Row],[Shipment_Type]]="Hava","Air",IF(logistics_classification_dataset__1[[#This Row],[Shipment_Type]]="Deniz","Sea")))</f>
        <v>Road</v>
      </c>
      <c r="F670">
        <v>1960.97</v>
      </c>
      <c r="G670" t="str">
        <f t="shared" si="20"/>
        <v>1501–2000</v>
      </c>
      <c r="H670" s="1">
        <v>1023.6</v>
      </c>
      <c r="I670" t="str">
        <f t="shared" si="21"/>
        <v>1001–1500</v>
      </c>
      <c r="J670" t="s">
        <v>11</v>
      </c>
      <c r="K670" t="str">
        <f>IF(logistics_classification_dataset__1[[#This Row],[Customer_Segment]]="Bireysel","Individual",IF(logistics_classification_dataset__1[[#This Row],[Customer_Segment]]="Kurumsal","Corporate"))</f>
        <v>Individual</v>
      </c>
      <c r="L670">
        <v>1</v>
      </c>
    </row>
    <row r="671" spans="1:12" x14ac:dyDescent="0.35">
      <c r="A671">
        <v>670</v>
      </c>
      <c r="B671" t="s">
        <v>17</v>
      </c>
      <c r="C671" t="s">
        <v>22</v>
      </c>
      <c r="D671" t="s">
        <v>15</v>
      </c>
      <c r="E671" t="str">
        <f>IF(logistics_classification_dataset__1[[#This Row],[Shipment_Type]]="Kara","Road",IF(logistics_classification_dataset__1[[#This Row],[Shipment_Type]]="Hava","Air",IF(logistics_classification_dataset__1[[#This Row],[Shipment_Type]]="Deniz","Sea")))</f>
        <v>Air</v>
      </c>
      <c r="F671">
        <v>1027.01</v>
      </c>
      <c r="G671" t="str">
        <f t="shared" si="20"/>
        <v>1001–1500</v>
      </c>
      <c r="H671" s="1">
        <v>257.39999999999998</v>
      </c>
      <c r="I671" t="str">
        <f t="shared" si="21"/>
        <v>0–500</v>
      </c>
      <c r="J671" t="s">
        <v>11</v>
      </c>
      <c r="K671" t="str">
        <f>IF(logistics_classification_dataset__1[[#This Row],[Customer_Segment]]="Bireysel","Individual",IF(logistics_classification_dataset__1[[#This Row],[Customer_Segment]]="Kurumsal","Corporate"))</f>
        <v>Individual</v>
      </c>
      <c r="L671">
        <v>0</v>
      </c>
    </row>
    <row r="672" spans="1:12" x14ac:dyDescent="0.35">
      <c r="A672">
        <v>671</v>
      </c>
      <c r="B672" t="s">
        <v>18</v>
      </c>
      <c r="C672" t="s">
        <v>21</v>
      </c>
      <c r="D672" t="s">
        <v>10</v>
      </c>
      <c r="E672" t="str">
        <f>IF(logistics_classification_dataset__1[[#This Row],[Shipment_Type]]="Kara","Road",IF(logistics_classification_dataset__1[[#This Row],[Shipment_Type]]="Hava","Air",IF(logistics_classification_dataset__1[[#This Row],[Shipment_Type]]="Deniz","Sea")))</f>
        <v>Road</v>
      </c>
      <c r="F672">
        <v>23.3</v>
      </c>
      <c r="G672" t="str">
        <f t="shared" si="20"/>
        <v>0–500</v>
      </c>
      <c r="H672" s="1">
        <v>272.60000000000002</v>
      </c>
      <c r="I672" t="str">
        <f t="shared" si="21"/>
        <v>0–500</v>
      </c>
      <c r="J672" t="s">
        <v>11</v>
      </c>
      <c r="K672" t="str">
        <f>IF(logistics_classification_dataset__1[[#This Row],[Customer_Segment]]="Bireysel","Individual",IF(logistics_classification_dataset__1[[#This Row],[Customer_Segment]]="Kurumsal","Corporate"))</f>
        <v>Individual</v>
      </c>
      <c r="L672">
        <v>1</v>
      </c>
    </row>
    <row r="673" spans="1:12" x14ac:dyDescent="0.35">
      <c r="A673">
        <v>672</v>
      </c>
      <c r="B673" t="s">
        <v>9</v>
      </c>
      <c r="C673" t="s">
        <v>22</v>
      </c>
      <c r="D673" t="s">
        <v>19</v>
      </c>
      <c r="E673" t="str">
        <f>IF(logistics_classification_dataset__1[[#This Row],[Shipment_Type]]="Kara","Road",IF(logistics_classification_dataset__1[[#This Row],[Shipment_Type]]="Hava","Air",IF(logistics_classification_dataset__1[[#This Row],[Shipment_Type]]="Deniz","Sea")))</f>
        <v>Sea</v>
      </c>
      <c r="F673">
        <v>1530.78</v>
      </c>
      <c r="G673" t="str">
        <f t="shared" si="20"/>
        <v>1501–2000</v>
      </c>
      <c r="H673" s="1">
        <v>1885</v>
      </c>
      <c r="I673" t="str">
        <f t="shared" si="21"/>
        <v>1501–2000</v>
      </c>
      <c r="J673" t="s">
        <v>14</v>
      </c>
      <c r="K673" t="str">
        <f>IF(logistics_classification_dataset__1[[#This Row],[Customer_Segment]]="Bireysel","Individual",IF(logistics_classification_dataset__1[[#This Row],[Customer_Segment]]="Kurumsal","Corporate"))</f>
        <v>Corporate</v>
      </c>
      <c r="L673">
        <v>0</v>
      </c>
    </row>
    <row r="674" spans="1:12" x14ac:dyDescent="0.35">
      <c r="A674">
        <v>673</v>
      </c>
      <c r="B674" t="s">
        <v>16</v>
      </c>
      <c r="C674" t="s">
        <v>18</v>
      </c>
      <c r="D674" t="s">
        <v>10</v>
      </c>
      <c r="E674" t="str">
        <f>IF(logistics_classification_dataset__1[[#This Row],[Shipment_Type]]="Kara","Road",IF(logistics_classification_dataset__1[[#This Row],[Shipment_Type]]="Hava","Air",IF(logistics_classification_dataset__1[[#This Row],[Shipment_Type]]="Deniz","Sea")))</f>
        <v>Road</v>
      </c>
      <c r="F674">
        <v>135.94</v>
      </c>
      <c r="G674" t="str">
        <f t="shared" si="20"/>
        <v>0–500</v>
      </c>
      <c r="H674" s="1">
        <v>1751.7</v>
      </c>
      <c r="I674" t="str">
        <f t="shared" si="21"/>
        <v>1501–2000</v>
      </c>
      <c r="J674" t="s">
        <v>14</v>
      </c>
      <c r="K674" t="str">
        <f>IF(logistics_classification_dataset__1[[#This Row],[Customer_Segment]]="Bireysel","Individual",IF(logistics_classification_dataset__1[[#This Row],[Customer_Segment]]="Kurumsal","Corporate"))</f>
        <v>Corporate</v>
      </c>
      <c r="L674">
        <v>0</v>
      </c>
    </row>
    <row r="675" spans="1:12" x14ac:dyDescent="0.35">
      <c r="A675">
        <v>674</v>
      </c>
      <c r="B675" t="s">
        <v>20</v>
      </c>
      <c r="C675" t="s">
        <v>21</v>
      </c>
      <c r="D675" t="s">
        <v>10</v>
      </c>
      <c r="E675" t="str">
        <f>IF(logistics_classification_dataset__1[[#This Row],[Shipment_Type]]="Kara","Road",IF(logistics_classification_dataset__1[[#This Row],[Shipment_Type]]="Hava","Air",IF(logistics_classification_dataset__1[[#This Row],[Shipment_Type]]="Deniz","Sea")))</f>
        <v>Road</v>
      </c>
      <c r="F675">
        <v>1547.11</v>
      </c>
      <c r="G675" t="str">
        <f t="shared" si="20"/>
        <v>1501–2000</v>
      </c>
      <c r="H675" s="1">
        <v>931.6</v>
      </c>
      <c r="I675" t="str">
        <f t="shared" si="21"/>
        <v>501–1000</v>
      </c>
      <c r="J675" t="s">
        <v>11</v>
      </c>
      <c r="K675" t="str">
        <f>IF(logistics_classification_dataset__1[[#This Row],[Customer_Segment]]="Bireysel","Individual",IF(logistics_classification_dataset__1[[#This Row],[Customer_Segment]]="Kurumsal","Corporate"))</f>
        <v>Individual</v>
      </c>
      <c r="L675">
        <v>1</v>
      </c>
    </row>
    <row r="676" spans="1:12" x14ac:dyDescent="0.35">
      <c r="A676">
        <v>675</v>
      </c>
      <c r="B676" t="s">
        <v>9</v>
      </c>
      <c r="C676" t="s">
        <v>16</v>
      </c>
      <c r="D676" t="s">
        <v>10</v>
      </c>
      <c r="E676" t="str">
        <f>IF(logistics_classification_dataset__1[[#This Row],[Shipment_Type]]="Kara","Road",IF(logistics_classification_dataset__1[[#This Row],[Shipment_Type]]="Hava","Air",IF(logistics_classification_dataset__1[[#This Row],[Shipment_Type]]="Deniz","Sea")))</f>
        <v>Road</v>
      </c>
      <c r="F676">
        <v>1903.13</v>
      </c>
      <c r="G676" t="str">
        <f t="shared" si="20"/>
        <v>1501–2000</v>
      </c>
      <c r="H676" s="1">
        <v>1972.3</v>
      </c>
      <c r="I676" t="str">
        <f t="shared" si="21"/>
        <v>1501–2000</v>
      </c>
      <c r="J676" t="s">
        <v>11</v>
      </c>
      <c r="K676" t="str">
        <f>IF(logistics_classification_dataset__1[[#This Row],[Customer_Segment]]="Bireysel","Individual",IF(logistics_classification_dataset__1[[#This Row],[Customer_Segment]]="Kurumsal","Corporate"))</f>
        <v>Individual</v>
      </c>
      <c r="L676">
        <v>1</v>
      </c>
    </row>
    <row r="677" spans="1:12" x14ac:dyDescent="0.35">
      <c r="A677">
        <v>676</v>
      </c>
      <c r="B677" t="s">
        <v>18</v>
      </c>
      <c r="C677" t="s">
        <v>13</v>
      </c>
      <c r="D677" t="s">
        <v>10</v>
      </c>
      <c r="E677" t="str">
        <f>IF(logistics_classification_dataset__1[[#This Row],[Shipment_Type]]="Kara","Road",IF(logistics_classification_dataset__1[[#This Row],[Shipment_Type]]="Hava","Air",IF(logistics_classification_dataset__1[[#This Row],[Shipment_Type]]="Deniz","Sea")))</f>
        <v>Road</v>
      </c>
      <c r="F677">
        <v>155.41</v>
      </c>
      <c r="G677" t="str">
        <f t="shared" si="20"/>
        <v>0–500</v>
      </c>
      <c r="H677" s="1">
        <v>50.4</v>
      </c>
      <c r="I677" t="str">
        <f t="shared" si="21"/>
        <v>0–500</v>
      </c>
      <c r="J677" t="s">
        <v>11</v>
      </c>
      <c r="K677" t="str">
        <f>IF(logistics_classification_dataset__1[[#This Row],[Customer_Segment]]="Bireysel","Individual",IF(logistics_classification_dataset__1[[#This Row],[Customer_Segment]]="Kurumsal","Corporate"))</f>
        <v>Individual</v>
      </c>
      <c r="L677">
        <v>1</v>
      </c>
    </row>
    <row r="678" spans="1:12" x14ac:dyDescent="0.35">
      <c r="A678">
        <v>677</v>
      </c>
      <c r="B678" t="s">
        <v>12</v>
      </c>
      <c r="C678" t="s">
        <v>20</v>
      </c>
      <c r="D678" t="s">
        <v>10</v>
      </c>
      <c r="E678" t="str">
        <f>IF(logistics_classification_dataset__1[[#This Row],[Shipment_Type]]="Kara","Road",IF(logistics_classification_dataset__1[[#This Row],[Shipment_Type]]="Hava","Air",IF(logistics_classification_dataset__1[[#This Row],[Shipment_Type]]="Deniz","Sea")))</f>
        <v>Road</v>
      </c>
      <c r="F678">
        <v>1224.6199999999999</v>
      </c>
      <c r="G678" t="str">
        <f t="shared" si="20"/>
        <v>1001–1500</v>
      </c>
      <c r="H678" s="1">
        <v>1247.3</v>
      </c>
      <c r="I678" t="str">
        <f t="shared" si="21"/>
        <v>1001–1500</v>
      </c>
      <c r="J678" t="s">
        <v>14</v>
      </c>
      <c r="K678" t="str">
        <f>IF(logistics_classification_dataset__1[[#This Row],[Customer_Segment]]="Bireysel","Individual",IF(logistics_classification_dataset__1[[#This Row],[Customer_Segment]]="Kurumsal","Corporate"))</f>
        <v>Corporate</v>
      </c>
      <c r="L678">
        <v>1</v>
      </c>
    </row>
    <row r="679" spans="1:12" x14ac:dyDescent="0.35">
      <c r="A679">
        <v>678</v>
      </c>
      <c r="B679" t="s">
        <v>9</v>
      </c>
      <c r="C679" t="s">
        <v>18</v>
      </c>
      <c r="D679" t="s">
        <v>19</v>
      </c>
      <c r="E679" t="str">
        <f>IF(logistics_classification_dataset__1[[#This Row],[Shipment_Type]]="Kara","Road",IF(logistics_classification_dataset__1[[#This Row],[Shipment_Type]]="Hava","Air",IF(logistics_classification_dataset__1[[#This Row],[Shipment_Type]]="Deniz","Sea")))</f>
        <v>Sea</v>
      </c>
      <c r="F679">
        <v>1715.33</v>
      </c>
      <c r="G679" t="str">
        <f t="shared" si="20"/>
        <v>1501–2000</v>
      </c>
      <c r="H679" s="1">
        <v>1252</v>
      </c>
      <c r="I679" t="str">
        <f t="shared" si="21"/>
        <v>1001–1500</v>
      </c>
      <c r="J679" t="s">
        <v>11</v>
      </c>
      <c r="K679" t="str">
        <f>IF(logistics_classification_dataset__1[[#This Row],[Customer_Segment]]="Bireysel","Individual",IF(logistics_classification_dataset__1[[#This Row],[Customer_Segment]]="Kurumsal","Corporate"))</f>
        <v>Individual</v>
      </c>
      <c r="L679">
        <v>0</v>
      </c>
    </row>
    <row r="680" spans="1:12" x14ac:dyDescent="0.35">
      <c r="A680">
        <v>679</v>
      </c>
      <c r="B680" t="s">
        <v>9</v>
      </c>
      <c r="C680" t="s">
        <v>17</v>
      </c>
      <c r="D680" t="s">
        <v>10</v>
      </c>
      <c r="E680" t="str">
        <f>IF(logistics_classification_dataset__1[[#This Row],[Shipment_Type]]="Kara","Road",IF(logistics_classification_dataset__1[[#This Row],[Shipment_Type]]="Hava","Air",IF(logistics_classification_dataset__1[[#This Row],[Shipment_Type]]="Deniz","Sea")))</f>
        <v>Road</v>
      </c>
      <c r="F680">
        <v>1348.13</v>
      </c>
      <c r="G680" t="str">
        <f t="shared" si="20"/>
        <v>1001–1500</v>
      </c>
      <c r="H680" s="1">
        <v>942</v>
      </c>
      <c r="I680" t="str">
        <f t="shared" si="21"/>
        <v>501–1000</v>
      </c>
      <c r="J680" t="s">
        <v>11</v>
      </c>
      <c r="K680" t="str">
        <f>IF(logistics_classification_dataset__1[[#This Row],[Customer_Segment]]="Bireysel","Individual",IF(logistics_classification_dataset__1[[#This Row],[Customer_Segment]]="Kurumsal","Corporate"))</f>
        <v>Individual</v>
      </c>
      <c r="L680">
        <v>1</v>
      </c>
    </row>
    <row r="681" spans="1:12" x14ac:dyDescent="0.35">
      <c r="A681">
        <v>680</v>
      </c>
      <c r="B681" t="s">
        <v>13</v>
      </c>
      <c r="C681" t="s">
        <v>18</v>
      </c>
      <c r="D681" t="s">
        <v>15</v>
      </c>
      <c r="E681" t="str">
        <f>IF(logistics_classification_dataset__1[[#This Row],[Shipment_Type]]="Kara","Road",IF(logistics_classification_dataset__1[[#This Row],[Shipment_Type]]="Hava","Air",IF(logistics_classification_dataset__1[[#This Row],[Shipment_Type]]="Deniz","Sea")))</f>
        <v>Air</v>
      </c>
      <c r="F681">
        <v>81.92</v>
      </c>
      <c r="G681" t="str">
        <f t="shared" si="20"/>
        <v>0–500</v>
      </c>
      <c r="H681" s="1">
        <v>824</v>
      </c>
      <c r="I681" t="str">
        <f t="shared" si="21"/>
        <v>501–1000</v>
      </c>
      <c r="J681" t="s">
        <v>11</v>
      </c>
      <c r="K681" t="str">
        <f>IF(logistics_classification_dataset__1[[#This Row],[Customer_Segment]]="Bireysel","Individual",IF(logistics_classification_dataset__1[[#This Row],[Customer_Segment]]="Kurumsal","Corporate"))</f>
        <v>Individual</v>
      </c>
      <c r="L681">
        <v>0</v>
      </c>
    </row>
    <row r="682" spans="1:12" x14ac:dyDescent="0.35">
      <c r="A682">
        <v>681</v>
      </c>
      <c r="B682" t="s">
        <v>22</v>
      </c>
      <c r="C682" t="s">
        <v>18</v>
      </c>
      <c r="D682" t="s">
        <v>15</v>
      </c>
      <c r="E682" t="str">
        <f>IF(logistics_classification_dataset__1[[#This Row],[Shipment_Type]]="Kara","Road",IF(logistics_classification_dataset__1[[#This Row],[Shipment_Type]]="Hava","Air",IF(logistics_classification_dataset__1[[#This Row],[Shipment_Type]]="Deniz","Sea")))</f>
        <v>Air</v>
      </c>
      <c r="F682">
        <v>1771.81</v>
      </c>
      <c r="G682" t="str">
        <f t="shared" si="20"/>
        <v>1501–2000</v>
      </c>
      <c r="H682" s="1">
        <v>938</v>
      </c>
      <c r="I682" t="str">
        <f t="shared" si="21"/>
        <v>501–1000</v>
      </c>
      <c r="J682" t="s">
        <v>14</v>
      </c>
      <c r="K682" t="str">
        <f>IF(logistics_classification_dataset__1[[#This Row],[Customer_Segment]]="Bireysel","Individual",IF(logistics_classification_dataset__1[[#This Row],[Customer_Segment]]="Kurumsal","Corporate"))</f>
        <v>Corporate</v>
      </c>
      <c r="L682">
        <v>1</v>
      </c>
    </row>
    <row r="683" spans="1:12" x14ac:dyDescent="0.35">
      <c r="A683">
        <v>682</v>
      </c>
      <c r="B683" t="s">
        <v>13</v>
      </c>
      <c r="C683" t="s">
        <v>21</v>
      </c>
      <c r="D683" t="s">
        <v>15</v>
      </c>
      <c r="E683" t="str">
        <f>IF(logistics_classification_dataset__1[[#This Row],[Shipment_Type]]="Kara","Road",IF(logistics_classification_dataset__1[[#This Row],[Shipment_Type]]="Hava","Air",IF(logistics_classification_dataset__1[[#This Row],[Shipment_Type]]="Deniz","Sea")))</f>
        <v>Air</v>
      </c>
      <c r="F683">
        <v>447.69</v>
      </c>
      <c r="G683" t="str">
        <f t="shared" si="20"/>
        <v>0–500</v>
      </c>
      <c r="H683" s="1">
        <v>859.2</v>
      </c>
      <c r="I683" t="str">
        <f t="shared" si="21"/>
        <v>501–1000</v>
      </c>
      <c r="J683" t="s">
        <v>11</v>
      </c>
      <c r="K683" t="str">
        <f>IF(logistics_classification_dataset__1[[#This Row],[Customer_Segment]]="Bireysel","Individual",IF(logistics_classification_dataset__1[[#This Row],[Customer_Segment]]="Kurumsal","Corporate"))</f>
        <v>Individual</v>
      </c>
      <c r="L683">
        <v>0</v>
      </c>
    </row>
    <row r="684" spans="1:12" x14ac:dyDescent="0.35">
      <c r="A684">
        <v>683</v>
      </c>
      <c r="B684" t="s">
        <v>8</v>
      </c>
      <c r="C684" t="s">
        <v>9</v>
      </c>
      <c r="D684" t="s">
        <v>10</v>
      </c>
      <c r="E684" t="str">
        <f>IF(logistics_classification_dataset__1[[#This Row],[Shipment_Type]]="Kara","Road",IF(logistics_classification_dataset__1[[#This Row],[Shipment_Type]]="Hava","Air",IF(logistics_classification_dataset__1[[#This Row],[Shipment_Type]]="Deniz","Sea")))</f>
        <v>Road</v>
      </c>
      <c r="F684">
        <v>1430.71</v>
      </c>
      <c r="G684" t="str">
        <f t="shared" si="20"/>
        <v>1001–1500</v>
      </c>
      <c r="H684" s="1">
        <v>1474.5</v>
      </c>
      <c r="I684" t="str">
        <f t="shared" si="21"/>
        <v>1001–1500</v>
      </c>
      <c r="J684" t="s">
        <v>11</v>
      </c>
      <c r="K684" t="str">
        <f>IF(logistics_classification_dataset__1[[#This Row],[Customer_Segment]]="Bireysel","Individual",IF(logistics_classification_dataset__1[[#This Row],[Customer_Segment]]="Kurumsal","Corporate"))</f>
        <v>Individual</v>
      </c>
      <c r="L684">
        <v>0</v>
      </c>
    </row>
    <row r="685" spans="1:12" x14ac:dyDescent="0.35">
      <c r="A685">
        <v>684</v>
      </c>
      <c r="B685" t="s">
        <v>17</v>
      </c>
      <c r="C685" t="s">
        <v>8</v>
      </c>
      <c r="D685" t="s">
        <v>10</v>
      </c>
      <c r="E685" t="str">
        <f>IF(logistics_classification_dataset__1[[#This Row],[Shipment_Type]]="Kara","Road",IF(logistics_classification_dataset__1[[#This Row],[Shipment_Type]]="Hava","Air",IF(logistics_classification_dataset__1[[#This Row],[Shipment_Type]]="Deniz","Sea")))</f>
        <v>Road</v>
      </c>
      <c r="F685">
        <v>1763.72</v>
      </c>
      <c r="G685" t="str">
        <f t="shared" si="20"/>
        <v>1501–2000</v>
      </c>
      <c r="H685" s="1">
        <v>313.89999999999998</v>
      </c>
      <c r="I685" t="str">
        <f t="shared" si="21"/>
        <v>0–500</v>
      </c>
      <c r="J685" t="s">
        <v>11</v>
      </c>
      <c r="K685" t="str">
        <f>IF(logistics_classification_dataset__1[[#This Row],[Customer_Segment]]="Bireysel","Individual",IF(logistics_classification_dataset__1[[#This Row],[Customer_Segment]]="Kurumsal","Corporate"))</f>
        <v>Individual</v>
      </c>
      <c r="L685">
        <v>1</v>
      </c>
    </row>
    <row r="686" spans="1:12" x14ac:dyDescent="0.35">
      <c r="A686">
        <v>685</v>
      </c>
      <c r="B686" t="s">
        <v>17</v>
      </c>
      <c r="C686" t="s">
        <v>9</v>
      </c>
      <c r="D686" t="s">
        <v>15</v>
      </c>
      <c r="E686" t="str">
        <f>IF(logistics_classification_dataset__1[[#This Row],[Shipment_Type]]="Kara","Road",IF(logistics_classification_dataset__1[[#This Row],[Shipment_Type]]="Hava","Air",IF(logistics_classification_dataset__1[[#This Row],[Shipment_Type]]="Deniz","Sea")))</f>
        <v>Air</v>
      </c>
      <c r="F686">
        <v>1463.98</v>
      </c>
      <c r="G686" t="str">
        <f t="shared" si="20"/>
        <v>1001–1500</v>
      </c>
      <c r="H686" s="1">
        <v>435.4</v>
      </c>
      <c r="I686" t="str">
        <f t="shared" si="21"/>
        <v>0–500</v>
      </c>
      <c r="J686" t="s">
        <v>11</v>
      </c>
      <c r="K686" t="str">
        <f>IF(logistics_classification_dataset__1[[#This Row],[Customer_Segment]]="Bireysel","Individual",IF(logistics_classification_dataset__1[[#This Row],[Customer_Segment]]="Kurumsal","Corporate"))</f>
        <v>Individual</v>
      </c>
      <c r="L686">
        <v>1</v>
      </c>
    </row>
    <row r="687" spans="1:12" x14ac:dyDescent="0.35">
      <c r="A687">
        <v>686</v>
      </c>
      <c r="B687" t="s">
        <v>22</v>
      </c>
      <c r="C687" t="s">
        <v>16</v>
      </c>
      <c r="D687" t="s">
        <v>19</v>
      </c>
      <c r="E687" t="str">
        <f>IF(logistics_classification_dataset__1[[#This Row],[Shipment_Type]]="Kara","Road",IF(logistics_classification_dataset__1[[#This Row],[Shipment_Type]]="Hava","Air",IF(logistics_classification_dataset__1[[#This Row],[Shipment_Type]]="Deniz","Sea")))</f>
        <v>Sea</v>
      </c>
      <c r="F687">
        <v>1396.06</v>
      </c>
      <c r="G687" t="str">
        <f t="shared" si="20"/>
        <v>1001–1500</v>
      </c>
      <c r="H687" s="1">
        <v>402</v>
      </c>
      <c r="I687" t="str">
        <f t="shared" si="21"/>
        <v>0–500</v>
      </c>
      <c r="J687" t="s">
        <v>14</v>
      </c>
      <c r="K687" t="str">
        <f>IF(logistics_classification_dataset__1[[#This Row],[Customer_Segment]]="Bireysel","Individual",IF(logistics_classification_dataset__1[[#This Row],[Customer_Segment]]="Kurumsal","Corporate"))</f>
        <v>Corporate</v>
      </c>
      <c r="L687">
        <v>1</v>
      </c>
    </row>
    <row r="688" spans="1:12" x14ac:dyDescent="0.35">
      <c r="A688">
        <v>687</v>
      </c>
      <c r="B688" t="s">
        <v>21</v>
      </c>
      <c r="C688" t="s">
        <v>17</v>
      </c>
      <c r="D688" t="s">
        <v>10</v>
      </c>
      <c r="E688" t="str">
        <f>IF(logistics_classification_dataset__1[[#This Row],[Shipment_Type]]="Kara","Road",IF(logistics_classification_dataset__1[[#This Row],[Shipment_Type]]="Hava","Air",IF(logistics_classification_dataset__1[[#This Row],[Shipment_Type]]="Deniz","Sea")))</f>
        <v>Road</v>
      </c>
      <c r="F688">
        <v>1506.51</v>
      </c>
      <c r="G688" t="str">
        <f t="shared" si="20"/>
        <v>1501–2000</v>
      </c>
      <c r="H688" s="1">
        <v>561.79999999999995</v>
      </c>
      <c r="I688" t="str">
        <f t="shared" si="21"/>
        <v>501–1000</v>
      </c>
      <c r="J688" t="s">
        <v>14</v>
      </c>
      <c r="K688" t="str">
        <f>IF(logistics_classification_dataset__1[[#This Row],[Customer_Segment]]="Bireysel","Individual",IF(logistics_classification_dataset__1[[#This Row],[Customer_Segment]]="Kurumsal","Corporate"))</f>
        <v>Corporate</v>
      </c>
      <c r="L688">
        <v>1</v>
      </c>
    </row>
    <row r="689" spans="1:12" x14ac:dyDescent="0.35">
      <c r="A689">
        <v>688</v>
      </c>
      <c r="B689" t="s">
        <v>21</v>
      </c>
      <c r="C689" t="s">
        <v>13</v>
      </c>
      <c r="D689" t="s">
        <v>10</v>
      </c>
      <c r="E689" t="str">
        <f>IF(logistics_classification_dataset__1[[#This Row],[Shipment_Type]]="Kara","Road",IF(logistics_classification_dataset__1[[#This Row],[Shipment_Type]]="Hava","Air",IF(logistics_classification_dataset__1[[#This Row],[Shipment_Type]]="Deniz","Sea")))</f>
        <v>Road</v>
      </c>
      <c r="F689">
        <v>932.79</v>
      </c>
      <c r="G689" t="str">
        <f t="shared" si="20"/>
        <v>501–1000</v>
      </c>
      <c r="H689" s="1">
        <v>1074.3</v>
      </c>
      <c r="I689" t="str">
        <f t="shared" si="21"/>
        <v>1001–1500</v>
      </c>
      <c r="J689" t="s">
        <v>11</v>
      </c>
      <c r="K689" t="str">
        <f>IF(logistics_classification_dataset__1[[#This Row],[Customer_Segment]]="Bireysel","Individual",IF(logistics_classification_dataset__1[[#This Row],[Customer_Segment]]="Kurumsal","Corporate"))</f>
        <v>Individual</v>
      </c>
      <c r="L689">
        <v>0</v>
      </c>
    </row>
    <row r="690" spans="1:12" x14ac:dyDescent="0.35">
      <c r="A690">
        <v>689</v>
      </c>
      <c r="B690" t="s">
        <v>18</v>
      </c>
      <c r="C690" t="s">
        <v>12</v>
      </c>
      <c r="D690" t="s">
        <v>10</v>
      </c>
      <c r="E690" t="str">
        <f>IF(logistics_classification_dataset__1[[#This Row],[Shipment_Type]]="Kara","Road",IF(logistics_classification_dataset__1[[#This Row],[Shipment_Type]]="Hava","Air",IF(logistics_classification_dataset__1[[#This Row],[Shipment_Type]]="Deniz","Sea")))</f>
        <v>Road</v>
      </c>
      <c r="F690">
        <v>1748.97</v>
      </c>
      <c r="G690" t="str">
        <f t="shared" si="20"/>
        <v>1501–2000</v>
      </c>
      <c r="H690" s="1">
        <v>266.89999999999998</v>
      </c>
      <c r="I690" t="str">
        <f t="shared" si="21"/>
        <v>0–500</v>
      </c>
      <c r="J690" t="s">
        <v>11</v>
      </c>
      <c r="K690" t="str">
        <f>IF(logistics_classification_dataset__1[[#This Row],[Customer_Segment]]="Bireysel","Individual",IF(logistics_classification_dataset__1[[#This Row],[Customer_Segment]]="Kurumsal","Corporate"))</f>
        <v>Individual</v>
      </c>
      <c r="L690">
        <v>1</v>
      </c>
    </row>
    <row r="691" spans="1:12" x14ac:dyDescent="0.35">
      <c r="A691">
        <v>690</v>
      </c>
      <c r="B691" t="s">
        <v>22</v>
      </c>
      <c r="C691" t="s">
        <v>16</v>
      </c>
      <c r="D691" t="s">
        <v>19</v>
      </c>
      <c r="E691" t="str">
        <f>IF(logistics_classification_dataset__1[[#This Row],[Shipment_Type]]="Kara","Road",IF(logistics_classification_dataset__1[[#This Row],[Shipment_Type]]="Hava","Air",IF(logistics_classification_dataset__1[[#This Row],[Shipment_Type]]="Deniz","Sea")))</f>
        <v>Sea</v>
      </c>
      <c r="F691">
        <v>410.86</v>
      </c>
      <c r="G691" t="str">
        <f t="shared" si="20"/>
        <v>0–500</v>
      </c>
      <c r="H691" s="1">
        <v>1742.9</v>
      </c>
      <c r="I691" t="str">
        <f t="shared" si="21"/>
        <v>1501–2000</v>
      </c>
      <c r="J691" t="s">
        <v>11</v>
      </c>
      <c r="K691" t="str">
        <f>IF(logistics_classification_dataset__1[[#This Row],[Customer_Segment]]="Bireysel","Individual",IF(logistics_classification_dataset__1[[#This Row],[Customer_Segment]]="Kurumsal","Corporate"))</f>
        <v>Individual</v>
      </c>
      <c r="L691">
        <v>1</v>
      </c>
    </row>
    <row r="692" spans="1:12" x14ac:dyDescent="0.35">
      <c r="A692">
        <v>691</v>
      </c>
      <c r="B692" t="s">
        <v>9</v>
      </c>
      <c r="C692" t="s">
        <v>12</v>
      </c>
      <c r="D692" t="s">
        <v>10</v>
      </c>
      <c r="E692" t="str">
        <f>IF(logistics_classification_dataset__1[[#This Row],[Shipment_Type]]="Kara","Road",IF(logistics_classification_dataset__1[[#This Row],[Shipment_Type]]="Hava","Air",IF(logistics_classification_dataset__1[[#This Row],[Shipment_Type]]="Deniz","Sea")))</f>
        <v>Road</v>
      </c>
      <c r="F692">
        <v>259.14</v>
      </c>
      <c r="G692" t="str">
        <f t="shared" si="20"/>
        <v>0–500</v>
      </c>
      <c r="H692" s="1">
        <v>629.9</v>
      </c>
      <c r="I692" t="str">
        <f t="shared" si="21"/>
        <v>501–1000</v>
      </c>
      <c r="J692" t="s">
        <v>11</v>
      </c>
      <c r="K692" t="str">
        <f>IF(logistics_classification_dataset__1[[#This Row],[Customer_Segment]]="Bireysel","Individual",IF(logistics_classification_dataset__1[[#This Row],[Customer_Segment]]="Kurumsal","Corporate"))</f>
        <v>Individual</v>
      </c>
      <c r="L692">
        <v>1</v>
      </c>
    </row>
    <row r="693" spans="1:12" x14ac:dyDescent="0.35">
      <c r="A693">
        <v>692</v>
      </c>
      <c r="B693" t="s">
        <v>21</v>
      </c>
      <c r="C693" t="s">
        <v>12</v>
      </c>
      <c r="D693" t="s">
        <v>10</v>
      </c>
      <c r="E693" t="str">
        <f>IF(logistics_classification_dataset__1[[#This Row],[Shipment_Type]]="Kara","Road",IF(logistics_classification_dataset__1[[#This Row],[Shipment_Type]]="Hava","Air",IF(logistics_classification_dataset__1[[#This Row],[Shipment_Type]]="Deniz","Sea")))</f>
        <v>Road</v>
      </c>
      <c r="F693">
        <v>574.59</v>
      </c>
      <c r="G693" t="str">
        <f t="shared" si="20"/>
        <v>501–1000</v>
      </c>
      <c r="H693" s="1">
        <v>366.9</v>
      </c>
      <c r="I693" t="str">
        <f t="shared" si="21"/>
        <v>0–500</v>
      </c>
      <c r="J693" t="s">
        <v>14</v>
      </c>
      <c r="K693" t="str">
        <f>IF(logistics_classification_dataset__1[[#This Row],[Customer_Segment]]="Bireysel","Individual",IF(logistics_classification_dataset__1[[#This Row],[Customer_Segment]]="Kurumsal","Corporate"))</f>
        <v>Corporate</v>
      </c>
      <c r="L693">
        <v>1</v>
      </c>
    </row>
    <row r="694" spans="1:12" x14ac:dyDescent="0.35">
      <c r="A694">
        <v>693</v>
      </c>
      <c r="B694" t="s">
        <v>16</v>
      </c>
      <c r="C694" t="s">
        <v>13</v>
      </c>
      <c r="D694" t="s">
        <v>15</v>
      </c>
      <c r="E694" t="str">
        <f>IF(logistics_classification_dataset__1[[#This Row],[Shipment_Type]]="Kara","Road",IF(logistics_classification_dataset__1[[#This Row],[Shipment_Type]]="Hava","Air",IF(logistics_classification_dataset__1[[#This Row],[Shipment_Type]]="Deniz","Sea")))</f>
        <v>Air</v>
      </c>
      <c r="F694">
        <v>106.55</v>
      </c>
      <c r="G694" t="str">
        <f t="shared" si="20"/>
        <v>0–500</v>
      </c>
      <c r="H694" s="1">
        <v>1367.5</v>
      </c>
      <c r="I694" t="str">
        <f t="shared" si="21"/>
        <v>1001–1500</v>
      </c>
      <c r="J694" t="s">
        <v>11</v>
      </c>
      <c r="K694" t="str">
        <f>IF(logistics_classification_dataset__1[[#This Row],[Customer_Segment]]="Bireysel","Individual",IF(logistics_classification_dataset__1[[#This Row],[Customer_Segment]]="Kurumsal","Corporate"))</f>
        <v>Individual</v>
      </c>
      <c r="L694">
        <v>1</v>
      </c>
    </row>
    <row r="695" spans="1:12" x14ac:dyDescent="0.35">
      <c r="A695">
        <v>694</v>
      </c>
      <c r="B695" t="s">
        <v>20</v>
      </c>
      <c r="C695" t="s">
        <v>22</v>
      </c>
      <c r="D695" t="s">
        <v>10</v>
      </c>
      <c r="E695" t="str">
        <f>IF(logistics_classification_dataset__1[[#This Row],[Shipment_Type]]="Kara","Road",IF(logistics_classification_dataset__1[[#This Row],[Shipment_Type]]="Hava","Air",IF(logistics_classification_dataset__1[[#This Row],[Shipment_Type]]="Deniz","Sea")))</f>
        <v>Road</v>
      </c>
      <c r="F695">
        <v>1023.57</v>
      </c>
      <c r="G695" t="str">
        <f t="shared" si="20"/>
        <v>1001–1500</v>
      </c>
      <c r="H695" s="1">
        <v>124.3</v>
      </c>
      <c r="I695" t="str">
        <f t="shared" si="21"/>
        <v>0–500</v>
      </c>
      <c r="J695" t="s">
        <v>11</v>
      </c>
      <c r="K695" t="str">
        <f>IF(logistics_classification_dataset__1[[#This Row],[Customer_Segment]]="Bireysel","Individual",IF(logistics_classification_dataset__1[[#This Row],[Customer_Segment]]="Kurumsal","Corporate"))</f>
        <v>Individual</v>
      </c>
      <c r="L695">
        <v>1</v>
      </c>
    </row>
    <row r="696" spans="1:12" x14ac:dyDescent="0.35">
      <c r="A696">
        <v>695</v>
      </c>
      <c r="B696" t="s">
        <v>9</v>
      </c>
      <c r="C696" t="s">
        <v>18</v>
      </c>
      <c r="D696" t="s">
        <v>10</v>
      </c>
      <c r="E696" t="str">
        <f>IF(logistics_classification_dataset__1[[#This Row],[Shipment_Type]]="Kara","Road",IF(logistics_classification_dataset__1[[#This Row],[Shipment_Type]]="Hava","Air",IF(logistics_classification_dataset__1[[#This Row],[Shipment_Type]]="Deniz","Sea")))</f>
        <v>Road</v>
      </c>
      <c r="F696">
        <v>1642.09</v>
      </c>
      <c r="G696" t="str">
        <f t="shared" si="20"/>
        <v>1501–2000</v>
      </c>
      <c r="H696" s="1">
        <v>1258.9000000000001</v>
      </c>
      <c r="I696" t="str">
        <f t="shared" si="21"/>
        <v>1001–1500</v>
      </c>
      <c r="J696" t="s">
        <v>11</v>
      </c>
      <c r="K696" t="str">
        <f>IF(logistics_classification_dataset__1[[#This Row],[Customer_Segment]]="Bireysel","Individual",IF(logistics_classification_dataset__1[[#This Row],[Customer_Segment]]="Kurumsal","Corporate"))</f>
        <v>Individual</v>
      </c>
      <c r="L696">
        <v>1</v>
      </c>
    </row>
    <row r="697" spans="1:12" x14ac:dyDescent="0.35">
      <c r="A697">
        <v>696</v>
      </c>
      <c r="B697" t="s">
        <v>8</v>
      </c>
      <c r="C697" t="s">
        <v>18</v>
      </c>
      <c r="D697" t="s">
        <v>15</v>
      </c>
      <c r="E697" t="str">
        <f>IF(logistics_classification_dataset__1[[#This Row],[Shipment_Type]]="Kara","Road",IF(logistics_classification_dataset__1[[#This Row],[Shipment_Type]]="Hava","Air",IF(logistics_classification_dataset__1[[#This Row],[Shipment_Type]]="Deniz","Sea")))</f>
        <v>Air</v>
      </c>
      <c r="F697">
        <v>812.11</v>
      </c>
      <c r="G697" t="str">
        <f t="shared" si="20"/>
        <v>501–1000</v>
      </c>
      <c r="H697" s="1">
        <v>1411.5</v>
      </c>
      <c r="I697" t="str">
        <f t="shared" si="21"/>
        <v>1001–1500</v>
      </c>
      <c r="J697" t="s">
        <v>11</v>
      </c>
      <c r="K697" t="str">
        <f>IF(logistics_classification_dataset__1[[#This Row],[Customer_Segment]]="Bireysel","Individual",IF(logistics_classification_dataset__1[[#This Row],[Customer_Segment]]="Kurumsal","Corporate"))</f>
        <v>Individual</v>
      </c>
      <c r="L697">
        <v>1</v>
      </c>
    </row>
    <row r="698" spans="1:12" x14ac:dyDescent="0.35">
      <c r="A698">
        <v>697</v>
      </c>
      <c r="B698" t="s">
        <v>16</v>
      </c>
      <c r="C698" t="s">
        <v>20</v>
      </c>
      <c r="D698" t="s">
        <v>19</v>
      </c>
      <c r="E698" t="str">
        <f>IF(logistics_classification_dataset__1[[#This Row],[Shipment_Type]]="Kara","Road",IF(logistics_classification_dataset__1[[#This Row],[Shipment_Type]]="Hava","Air",IF(logistics_classification_dataset__1[[#This Row],[Shipment_Type]]="Deniz","Sea")))</f>
        <v>Sea</v>
      </c>
      <c r="F698">
        <v>971.27</v>
      </c>
      <c r="G698" t="str">
        <f t="shared" si="20"/>
        <v>501–1000</v>
      </c>
      <c r="H698" s="1">
        <v>469.1</v>
      </c>
      <c r="I698" t="str">
        <f t="shared" si="21"/>
        <v>0–500</v>
      </c>
      <c r="J698" t="s">
        <v>11</v>
      </c>
      <c r="K698" t="str">
        <f>IF(logistics_classification_dataset__1[[#This Row],[Customer_Segment]]="Bireysel","Individual",IF(logistics_classification_dataset__1[[#This Row],[Customer_Segment]]="Kurumsal","Corporate"))</f>
        <v>Individual</v>
      </c>
      <c r="L698">
        <v>1</v>
      </c>
    </row>
    <row r="699" spans="1:12" x14ac:dyDescent="0.35">
      <c r="A699">
        <v>698</v>
      </c>
      <c r="B699" t="s">
        <v>16</v>
      </c>
      <c r="C699" t="s">
        <v>12</v>
      </c>
      <c r="D699" t="s">
        <v>10</v>
      </c>
      <c r="E699" t="str">
        <f>IF(logistics_classification_dataset__1[[#This Row],[Shipment_Type]]="Kara","Road",IF(logistics_classification_dataset__1[[#This Row],[Shipment_Type]]="Hava","Air",IF(logistics_classification_dataset__1[[#This Row],[Shipment_Type]]="Deniz","Sea")))</f>
        <v>Road</v>
      </c>
      <c r="F699">
        <v>31.67</v>
      </c>
      <c r="G699" t="str">
        <f t="shared" si="20"/>
        <v>0–500</v>
      </c>
      <c r="H699" s="1">
        <v>131.80000000000001</v>
      </c>
      <c r="I699" t="str">
        <f t="shared" si="21"/>
        <v>0–500</v>
      </c>
      <c r="J699" t="s">
        <v>11</v>
      </c>
      <c r="K699" t="str">
        <f>IF(logistics_classification_dataset__1[[#This Row],[Customer_Segment]]="Bireysel","Individual",IF(logistics_classification_dataset__1[[#This Row],[Customer_Segment]]="Kurumsal","Corporate"))</f>
        <v>Individual</v>
      </c>
      <c r="L699">
        <v>1</v>
      </c>
    </row>
    <row r="700" spans="1:12" x14ac:dyDescent="0.35">
      <c r="A700">
        <v>699</v>
      </c>
      <c r="B700" t="s">
        <v>22</v>
      </c>
      <c r="C700" t="s">
        <v>17</v>
      </c>
      <c r="D700" t="s">
        <v>10</v>
      </c>
      <c r="E700" t="str">
        <f>IF(logistics_classification_dataset__1[[#This Row],[Shipment_Type]]="Kara","Road",IF(logistics_classification_dataset__1[[#This Row],[Shipment_Type]]="Hava","Air",IF(logistics_classification_dataset__1[[#This Row],[Shipment_Type]]="Deniz","Sea")))</f>
        <v>Road</v>
      </c>
      <c r="F700">
        <v>822.43</v>
      </c>
      <c r="G700" t="str">
        <f t="shared" si="20"/>
        <v>501–1000</v>
      </c>
      <c r="H700" s="1">
        <v>759.1</v>
      </c>
      <c r="I700" t="str">
        <f t="shared" si="21"/>
        <v>501–1000</v>
      </c>
      <c r="J700" t="s">
        <v>11</v>
      </c>
      <c r="K700" t="str">
        <f>IF(logistics_classification_dataset__1[[#This Row],[Customer_Segment]]="Bireysel","Individual",IF(logistics_classification_dataset__1[[#This Row],[Customer_Segment]]="Kurumsal","Corporate"))</f>
        <v>Individual</v>
      </c>
      <c r="L700">
        <v>1</v>
      </c>
    </row>
    <row r="701" spans="1:12" x14ac:dyDescent="0.35">
      <c r="A701">
        <v>700</v>
      </c>
      <c r="B701" t="s">
        <v>18</v>
      </c>
      <c r="C701" t="s">
        <v>16</v>
      </c>
      <c r="D701" t="s">
        <v>10</v>
      </c>
      <c r="E701" t="str">
        <f>IF(logistics_classification_dataset__1[[#This Row],[Shipment_Type]]="Kara","Road",IF(logistics_classification_dataset__1[[#This Row],[Shipment_Type]]="Hava","Air",IF(logistics_classification_dataset__1[[#This Row],[Shipment_Type]]="Deniz","Sea")))</f>
        <v>Road</v>
      </c>
      <c r="F701">
        <v>1297.31</v>
      </c>
      <c r="G701" t="str">
        <f t="shared" si="20"/>
        <v>1001–1500</v>
      </c>
      <c r="H701" s="1">
        <v>242.3</v>
      </c>
      <c r="I701" t="str">
        <f t="shared" si="21"/>
        <v>0–500</v>
      </c>
      <c r="J701" t="s">
        <v>14</v>
      </c>
      <c r="K701" t="str">
        <f>IF(logistics_classification_dataset__1[[#This Row],[Customer_Segment]]="Bireysel","Individual",IF(logistics_classification_dataset__1[[#This Row],[Customer_Segment]]="Kurumsal","Corporate"))</f>
        <v>Corporate</v>
      </c>
      <c r="L701">
        <v>1</v>
      </c>
    </row>
    <row r="702" spans="1:12" x14ac:dyDescent="0.35">
      <c r="A702">
        <v>701</v>
      </c>
      <c r="B702" t="s">
        <v>8</v>
      </c>
      <c r="C702" t="s">
        <v>22</v>
      </c>
      <c r="D702" t="s">
        <v>10</v>
      </c>
      <c r="E702" t="str">
        <f>IF(logistics_classification_dataset__1[[#This Row],[Shipment_Type]]="Kara","Road",IF(logistics_classification_dataset__1[[#This Row],[Shipment_Type]]="Hava","Air",IF(logistics_classification_dataset__1[[#This Row],[Shipment_Type]]="Deniz","Sea")))</f>
        <v>Road</v>
      </c>
      <c r="F702">
        <v>35.94</v>
      </c>
      <c r="G702" t="str">
        <f t="shared" si="20"/>
        <v>0–500</v>
      </c>
      <c r="H702" s="1">
        <v>277.10000000000002</v>
      </c>
      <c r="I702" t="str">
        <f t="shared" si="21"/>
        <v>0–500</v>
      </c>
      <c r="J702" t="s">
        <v>11</v>
      </c>
      <c r="K702" t="str">
        <f>IF(logistics_classification_dataset__1[[#This Row],[Customer_Segment]]="Bireysel","Individual",IF(logistics_classification_dataset__1[[#This Row],[Customer_Segment]]="Kurumsal","Corporate"))</f>
        <v>Individual</v>
      </c>
      <c r="L702">
        <v>1</v>
      </c>
    </row>
    <row r="703" spans="1:12" x14ac:dyDescent="0.35">
      <c r="A703">
        <v>702</v>
      </c>
      <c r="B703" t="s">
        <v>21</v>
      </c>
      <c r="C703" t="s">
        <v>12</v>
      </c>
      <c r="D703" t="s">
        <v>15</v>
      </c>
      <c r="E703" t="str">
        <f>IF(logistics_classification_dataset__1[[#This Row],[Shipment_Type]]="Kara","Road",IF(logistics_classification_dataset__1[[#This Row],[Shipment_Type]]="Hava","Air",IF(logistics_classification_dataset__1[[#This Row],[Shipment_Type]]="Deniz","Sea")))</f>
        <v>Air</v>
      </c>
      <c r="F703">
        <v>565.36</v>
      </c>
      <c r="G703" t="str">
        <f t="shared" si="20"/>
        <v>501–1000</v>
      </c>
      <c r="H703" s="1">
        <v>545.79999999999995</v>
      </c>
      <c r="I703" t="str">
        <f t="shared" si="21"/>
        <v>501–1000</v>
      </c>
      <c r="J703" t="s">
        <v>11</v>
      </c>
      <c r="K703" t="str">
        <f>IF(logistics_classification_dataset__1[[#This Row],[Customer_Segment]]="Bireysel","Individual",IF(logistics_classification_dataset__1[[#This Row],[Customer_Segment]]="Kurumsal","Corporate"))</f>
        <v>Individual</v>
      </c>
      <c r="L703">
        <v>1</v>
      </c>
    </row>
    <row r="704" spans="1:12" x14ac:dyDescent="0.35">
      <c r="A704">
        <v>703</v>
      </c>
      <c r="B704" t="s">
        <v>22</v>
      </c>
      <c r="C704" t="s">
        <v>13</v>
      </c>
      <c r="D704" t="s">
        <v>10</v>
      </c>
      <c r="E704" t="str">
        <f>IF(logistics_classification_dataset__1[[#This Row],[Shipment_Type]]="Kara","Road",IF(logistics_classification_dataset__1[[#This Row],[Shipment_Type]]="Hava","Air",IF(logistics_classification_dataset__1[[#This Row],[Shipment_Type]]="Deniz","Sea")))</f>
        <v>Road</v>
      </c>
      <c r="F704">
        <v>419.87</v>
      </c>
      <c r="G704" t="str">
        <f t="shared" si="20"/>
        <v>0–500</v>
      </c>
      <c r="H704" s="1">
        <v>626.20000000000005</v>
      </c>
      <c r="I704" t="str">
        <f t="shared" si="21"/>
        <v>501–1000</v>
      </c>
      <c r="J704" t="s">
        <v>14</v>
      </c>
      <c r="K704" t="str">
        <f>IF(logistics_classification_dataset__1[[#This Row],[Customer_Segment]]="Bireysel","Individual",IF(logistics_classification_dataset__1[[#This Row],[Customer_Segment]]="Kurumsal","Corporate"))</f>
        <v>Corporate</v>
      </c>
      <c r="L704">
        <v>1</v>
      </c>
    </row>
    <row r="705" spans="1:12" x14ac:dyDescent="0.35">
      <c r="A705">
        <v>704</v>
      </c>
      <c r="B705" t="s">
        <v>21</v>
      </c>
      <c r="C705" t="s">
        <v>22</v>
      </c>
      <c r="D705" t="s">
        <v>10</v>
      </c>
      <c r="E705" t="str">
        <f>IF(logistics_classification_dataset__1[[#This Row],[Shipment_Type]]="Kara","Road",IF(logistics_classification_dataset__1[[#This Row],[Shipment_Type]]="Hava","Air",IF(logistics_classification_dataset__1[[#This Row],[Shipment_Type]]="Deniz","Sea")))</f>
        <v>Road</v>
      </c>
      <c r="F705">
        <v>88.76</v>
      </c>
      <c r="G705" t="str">
        <f t="shared" si="20"/>
        <v>0–500</v>
      </c>
      <c r="H705" s="1">
        <v>1083.4000000000001</v>
      </c>
      <c r="I705" t="str">
        <f t="shared" si="21"/>
        <v>1001–1500</v>
      </c>
      <c r="J705" t="s">
        <v>11</v>
      </c>
      <c r="K705" t="str">
        <f>IF(logistics_classification_dataset__1[[#This Row],[Customer_Segment]]="Bireysel","Individual",IF(logistics_classification_dataset__1[[#This Row],[Customer_Segment]]="Kurumsal","Corporate"))</f>
        <v>Individual</v>
      </c>
      <c r="L705">
        <v>1</v>
      </c>
    </row>
    <row r="706" spans="1:12" x14ac:dyDescent="0.35">
      <c r="A706">
        <v>705</v>
      </c>
      <c r="B706" t="s">
        <v>22</v>
      </c>
      <c r="C706" t="s">
        <v>12</v>
      </c>
      <c r="D706" t="s">
        <v>10</v>
      </c>
      <c r="E706" t="str">
        <f>IF(logistics_classification_dataset__1[[#This Row],[Shipment_Type]]="Kara","Road",IF(logistics_classification_dataset__1[[#This Row],[Shipment_Type]]="Hava","Air",IF(logistics_classification_dataset__1[[#This Row],[Shipment_Type]]="Deniz","Sea")))</f>
        <v>Road</v>
      </c>
      <c r="F706">
        <v>961.12</v>
      </c>
      <c r="G706" t="str">
        <f t="shared" ref="G706:G769" si="22">IF(F706&lt;=500,"0–500",IF(F706&lt;=1000,"501–1000",IF(F706&lt;=1500,"1001–1500","1501–2000")))</f>
        <v>501–1000</v>
      </c>
      <c r="H706" s="1">
        <v>1372.9</v>
      </c>
      <c r="I706" t="str">
        <f t="shared" ref="I706:I769" si="23">IF(H706&lt;=500,"0–500",IF(H706&lt;=1000,"501–1000",IF(H706&lt;=1500,"1001–1500",IF(H706&lt;=2000,"1501–2000","&gt;2000"))))</f>
        <v>1001–1500</v>
      </c>
      <c r="J706" t="s">
        <v>14</v>
      </c>
      <c r="K706" t="str">
        <f>IF(logistics_classification_dataset__1[[#This Row],[Customer_Segment]]="Bireysel","Individual",IF(logistics_classification_dataset__1[[#This Row],[Customer_Segment]]="Kurumsal","Corporate"))</f>
        <v>Corporate</v>
      </c>
      <c r="L706">
        <v>0</v>
      </c>
    </row>
    <row r="707" spans="1:12" x14ac:dyDescent="0.35">
      <c r="A707">
        <v>706</v>
      </c>
      <c r="B707" t="s">
        <v>22</v>
      </c>
      <c r="C707" t="s">
        <v>21</v>
      </c>
      <c r="D707" t="s">
        <v>10</v>
      </c>
      <c r="E707" t="str">
        <f>IF(logistics_classification_dataset__1[[#This Row],[Shipment_Type]]="Kara","Road",IF(logistics_classification_dataset__1[[#This Row],[Shipment_Type]]="Hava","Air",IF(logistics_classification_dataset__1[[#This Row],[Shipment_Type]]="Deniz","Sea")))</f>
        <v>Road</v>
      </c>
      <c r="F707">
        <v>367.54</v>
      </c>
      <c r="G707" t="str">
        <f t="shared" si="22"/>
        <v>0–500</v>
      </c>
      <c r="H707" s="1">
        <v>1205.9000000000001</v>
      </c>
      <c r="I707" t="str">
        <f t="shared" si="23"/>
        <v>1001–1500</v>
      </c>
      <c r="J707" t="s">
        <v>11</v>
      </c>
      <c r="K707" t="str">
        <f>IF(logistics_classification_dataset__1[[#This Row],[Customer_Segment]]="Bireysel","Individual",IF(logistics_classification_dataset__1[[#This Row],[Customer_Segment]]="Kurumsal","Corporate"))</f>
        <v>Individual</v>
      </c>
      <c r="L707">
        <v>1</v>
      </c>
    </row>
    <row r="708" spans="1:12" x14ac:dyDescent="0.35">
      <c r="A708">
        <v>707</v>
      </c>
      <c r="B708" t="s">
        <v>22</v>
      </c>
      <c r="C708" t="s">
        <v>8</v>
      </c>
      <c r="D708" t="s">
        <v>10</v>
      </c>
      <c r="E708" t="str">
        <f>IF(logistics_classification_dataset__1[[#This Row],[Shipment_Type]]="Kara","Road",IF(logistics_classification_dataset__1[[#This Row],[Shipment_Type]]="Hava","Air",IF(logistics_classification_dataset__1[[#This Row],[Shipment_Type]]="Deniz","Sea")))</f>
        <v>Road</v>
      </c>
      <c r="F708">
        <v>1487.45</v>
      </c>
      <c r="G708" t="str">
        <f t="shared" si="22"/>
        <v>1001–1500</v>
      </c>
      <c r="H708" s="1">
        <v>339.3</v>
      </c>
      <c r="I708" t="str">
        <f t="shared" si="23"/>
        <v>0–500</v>
      </c>
      <c r="J708" t="s">
        <v>11</v>
      </c>
      <c r="K708" t="str">
        <f>IF(logistics_classification_dataset__1[[#This Row],[Customer_Segment]]="Bireysel","Individual",IF(logistics_classification_dataset__1[[#This Row],[Customer_Segment]]="Kurumsal","Corporate"))</f>
        <v>Individual</v>
      </c>
      <c r="L708">
        <v>0</v>
      </c>
    </row>
    <row r="709" spans="1:12" x14ac:dyDescent="0.35">
      <c r="A709">
        <v>708</v>
      </c>
      <c r="B709" t="s">
        <v>18</v>
      </c>
      <c r="C709" t="s">
        <v>17</v>
      </c>
      <c r="D709" t="s">
        <v>15</v>
      </c>
      <c r="E709" t="str">
        <f>IF(logistics_classification_dataset__1[[#This Row],[Shipment_Type]]="Kara","Road",IF(logistics_classification_dataset__1[[#This Row],[Shipment_Type]]="Hava","Air",IF(logistics_classification_dataset__1[[#This Row],[Shipment_Type]]="Deniz","Sea")))</f>
        <v>Air</v>
      </c>
      <c r="F709">
        <v>1696.62</v>
      </c>
      <c r="G709" t="str">
        <f t="shared" si="22"/>
        <v>1501–2000</v>
      </c>
      <c r="H709" s="1">
        <v>385.6</v>
      </c>
      <c r="I709" t="str">
        <f t="shared" si="23"/>
        <v>0–500</v>
      </c>
      <c r="J709" t="s">
        <v>11</v>
      </c>
      <c r="K709" t="str">
        <f>IF(logistics_classification_dataset__1[[#This Row],[Customer_Segment]]="Bireysel","Individual",IF(logistics_classification_dataset__1[[#This Row],[Customer_Segment]]="Kurumsal","Corporate"))</f>
        <v>Individual</v>
      </c>
      <c r="L709">
        <v>1</v>
      </c>
    </row>
    <row r="710" spans="1:12" x14ac:dyDescent="0.35">
      <c r="A710">
        <v>709</v>
      </c>
      <c r="B710" t="s">
        <v>22</v>
      </c>
      <c r="C710" t="s">
        <v>18</v>
      </c>
      <c r="D710" t="s">
        <v>10</v>
      </c>
      <c r="E710" t="str">
        <f>IF(logistics_classification_dataset__1[[#This Row],[Shipment_Type]]="Kara","Road",IF(logistics_classification_dataset__1[[#This Row],[Shipment_Type]]="Hava","Air",IF(logistics_classification_dataset__1[[#This Row],[Shipment_Type]]="Deniz","Sea")))</f>
        <v>Road</v>
      </c>
      <c r="F710">
        <v>1093.44</v>
      </c>
      <c r="G710" t="str">
        <f t="shared" si="22"/>
        <v>1001–1500</v>
      </c>
      <c r="H710" s="1">
        <v>1763.6</v>
      </c>
      <c r="I710" t="str">
        <f t="shared" si="23"/>
        <v>1501–2000</v>
      </c>
      <c r="J710" t="s">
        <v>11</v>
      </c>
      <c r="K710" t="str">
        <f>IF(logistics_classification_dataset__1[[#This Row],[Customer_Segment]]="Bireysel","Individual",IF(logistics_classification_dataset__1[[#This Row],[Customer_Segment]]="Kurumsal","Corporate"))</f>
        <v>Individual</v>
      </c>
      <c r="L710">
        <v>1</v>
      </c>
    </row>
    <row r="711" spans="1:12" x14ac:dyDescent="0.35">
      <c r="A711">
        <v>710</v>
      </c>
      <c r="B711" t="s">
        <v>12</v>
      </c>
      <c r="C711" t="s">
        <v>18</v>
      </c>
      <c r="D711" t="s">
        <v>15</v>
      </c>
      <c r="E711" t="str">
        <f>IF(logistics_classification_dataset__1[[#This Row],[Shipment_Type]]="Kara","Road",IF(logistics_classification_dataset__1[[#This Row],[Shipment_Type]]="Hava","Air",IF(logistics_classification_dataset__1[[#This Row],[Shipment_Type]]="Deniz","Sea")))</f>
        <v>Air</v>
      </c>
      <c r="F711">
        <v>1963.51</v>
      </c>
      <c r="G711" t="str">
        <f t="shared" si="22"/>
        <v>1501–2000</v>
      </c>
      <c r="H711" s="1">
        <v>1138.8</v>
      </c>
      <c r="I711" t="str">
        <f t="shared" si="23"/>
        <v>1001–1500</v>
      </c>
      <c r="J711" t="s">
        <v>11</v>
      </c>
      <c r="K711" t="str">
        <f>IF(logistics_classification_dataset__1[[#This Row],[Customer_Segment]]="Bireysel","Individual",IF(logistics_classification_dataset__1[[#This Row],[Customer_Segment]]="Kurumsal","Corporate"))</f>
        <v>Individual</v>
      </c>
      <c r="L711">
        <v>1</v>
      </c>
    </row>
    <row r="712" spans="1:12" x14ac:dyDescent="0.35">
      <c r="A712">
        <v>711</v>
      </c>
      <c r="B712" t="s">
        <v>20</v>
      </c>
      <c r="C712" t="s">
        <v>17</v>
      </c>
      <c r="D712" t="s">
        <v>15</v>
      </c>
      <c r="E712" t="str">
        <f>IF(logistics_classification_dataset__1[[#This Row],[Shipment_Type]]="Kara","Road",IF(logistics_classification_dataset__1[[#This Row],[Shipment_Type]]="Hava","Air",IF(logistics_classification_dataset__1[[#This Row],[Shipment_Type]]="Deniz","Sea")))</f>
        <v>Air</v>
      </c>
      <c r="F712">
        <v>90.37</v>
      </c>
      <c r="G712" t="str">
        <f t="shared" si="22"/>
        <v>0–500</v>
      </c>
      <c r="H712" s="1">
        <v>1746.4</v>
      </c>
      <c r="I712" t="str">
        <f t="shared" si="23"/>
        <v>1501–2000</v>
      </c>
      <c r="J712" t="s">
        <v>14</v>
      </c>
      <c r="K712" t="str">
        <f>IF(logistics_classification_dataset__1[[#This Row],[Customer_Segment]]="Bireysel","Individual",IF(logistics_classification_dataset__1[[#This Row],[Customer_Segment]]="Kurumsal","Corporate"))</f>
        <v>Corporate</v>
      </c>
      <c r="L712">
        <v>1</v>
      </c>
    </row>
    <row r="713" spans="1:12" x14ac:dyDescent="0.35">
      <c r="A713">
        <v>712</v>
      </c>
      <c r="B713" t="s">
        <v>21</v>
      </c>
      <c r="C713" t="s">
        <v>12</v>
      </c>
      <c r="D713" t="s">
        <v>10</v>
      </c>
      <c r="E713" t="str">
        <f>IF(logistics_classification_dataset__1[[#This Row],[Shipment_Type]]="Kara","Road",IF(logistics_classification_dataset__1[[#This Row],[Shipment_Type]]="Hava","Air",IF(logistics_classification_dataset__1[[#This Row],[Shipment_Type]]="Deniz","Sea")))</f>
        <v>Road</v>
      </c>
      <c r="F713">
        <v>1029.17</v>
      </c>
      <c r="G713" t="str">
        <f t="shared" si="22"/>
        <v>1001–1500</v>
      </c>
      <c r="H713" s="1">
        <v>774.5</v>
      </c>
      <c r="I713" t="str">
        <f t="shared" si="23"/>
        <v>501–1000</v>
      </c>
      <c r="J713" t="s">
        <v>11</v>
      </c>
      <c r="K713" t="str">
        <f>IF(logistics_classification_dataset__1[[#This Row],[Customer_Segment]]="Bireysel","Individual",IF(logistics_classification_dataset__1[[#This Row],[Customer_Segment]]="Kurumsal","Corporate"))</f>
        <v>Individual</v>
      </c>
      <c r="L713">
        <v>1</v>
      </c>
    </row>
    <row r="714" spans="1:12" x14ac:dyDescent="0.35">
      <c r="A714">
        <v>713</v>
      </c>
      <c r="B714" t="s">
        <v>9</v>
      </c>
      <c r="C714" t="s">
        <v>18</v>
      </c>
      <c r="D714" t="s">
        <v>10</v>
      </c>
      <c r="E714" t="str">
        <f>IF(logistics_classification_dataset__1[[#This Row],[Shipment_Type]]="Kara","Road",IF(logistics_classification_dataset__1[[#This Row],[Shipment_Type]]="Hava","Air",IF(logistics_classification_dataset__1[[#This Row],[Shipment_Type]]="Deniz","Sea")))</f>
        <v>Road</v>
      </c>
      <c r="F714">
        <v>1978.49</v>
      </c>
      <c r="G714" t="str">
        <f t="shared" si="22"/>
        <v>1501–2000</v>
      </c>
      <c r="H714" s="1">
        <v>1248.0999999999999</v>
      </c>
      <c r="I714" t="str">
        <f t="shared" si="23"/>
        <v>1001–1500</v>
      </c>
      <c r="J714" t="s">
        <v>11</v>
      </c>
      <c r="K714" t="str">
        <f>IF(logistics_classification_dataset__1[[#This Row],[Customer_Segment]]="Bireysel","Individual",IF(logistics_classification_dataset__1[[#This Row],[Customer_Segment]]="Kurumsal","Corporate"))</f>
        <v>Individual</v>
      </c>
      <c r="L714">
        <v>1</v>
      </c>
    </row>
    <row r="715" spans="1:12" x14ac:dyDescent="0.35">
      <c r="A715">
        <v>714</v>
      </c>
      <c r="B715" t="s">
        <v>13</v>
      </c>
      <c r="C715" t="s">
        <v>22</v>
      </c>
      <c r="D715" t="s">
        <v>10</v>
      </c>
      <c r="E715" t="str">
        <f>IF(logistics_classification_dataset__1[[#This Row],[Shipment_Type]]="Kara","Road",IF(logistics_classification_dataset__1[[#This Row],[Shipment_Type]]="Hava","Air",IF(logistics_classification_dataset__1[[#This Row],[Shipment_Type]]="Deniz","Sea")))</f>
        <v>Road</v>
      </c>
      <c r="F715">
        <v>466.94</v>
      </c>
      <c r="G715" t="str">
        <f t="shared" si="22"/>
        <v>0–500</v>
      </c>
      <c r="H715" s="1">
        <v>1071.0999999999999</v>
      </c>
      <c r="I715" t="str">
        <f t="shared" si="23"/>
        <v>1001–1500</v>
      </c>
      <c r="J715" t="s">
        <v>11</v>
      </c>
      <c r="K715" t="str">
        <f>IF(logistics_classification_dataset__1[[#This Row],[Customer_Segment]]="Bireysel","Individual",IF(logistics_classification_dataset__1[[#This Row],[Customer_Segment]]="Kurumsal","Corporate"))</f>
        <v>Individual</v>
      </c>
      <c r="L715">
        <v>1</v>
      </c>
    </row>
    <row r="716" spans="1:12" x14ac:dyDescent="0.35">
      <c r="A716">
        <v>715</v>
      </c>
      <c r="B716" t="s">
        <v>8</v>
      </c>
      <c r="C716" t="s">
        <v>13</v>
      </c>
      <c r="D716" t="s">
        <v>10</v>
      </c>
      <c r="E716" t="str">
        <f>IF(logistics_classification_dataset__1[[#This Row],[Shipment_Type]]="Kara","Road",IF(logistics_classification_dataset__1[[#This Row],[Shipment_Type]]="Hava","Air",IF(logistics_classification_dataset__1[[#This Row],[Shipment_Type]]="Deniz","Sea")))</f>
        <v>Road</v>
      </c>
      <c r="F716">
        <v>1885.38</v>
      </c>
      <c r="G716" t="str">
        <f t="shared" si="22"/>
        <v>1501–2000</v>
      </c>
      <c r="H716" s="1">
        <v>672.3</v>
      </c>
      <c r="I716" t="str">
        <f t="shared" si="23"/>
        <v>501–1000</v>
      </c>
      <c r="J716" t="s">
        <v>11</v>
      </c>
      <c r="K716" t="str">
        <f>IF(logistics_classification_dataset__1[[#This Row],[Customer_Segment]]="Bireysel","Individual",IF(logistics_classification_dataset__1[[#This Row],[Customer_Segment]]="Kurumsal","Corporate"))</f>
        <v>Individual</v>
      </c>
      <c r="L716">
        <v>1</v>
      </c>
    </row>
    <row r="717" spans="1:12" x14ac:dyDescent="0.35">
      <c r="A717">
        <v>716</v>
      </c>
      <c r="B717" t="s">
        <v>17</v>
      </c>
      <c r="C717" t="s">
        <v>16</v>
      </c>
      <c r="D717" t="s">
        <v>10</v>
      </c>
      <c r="E717" t="str">
        <f>IF(logistics_classification_dataset__1[[#This Row],[Shipment_Type]]="Kara","Road",IF(logistics_classification_dataset__1[[#This Row],[Shipment_Type]]="Hava","Air",IF(logistics_classification_dataset__1[[#This Row],[Shipment_Type]]="Deniz","Sea")))</f>
        <v>Road</v>
      </c>
      <c r="F717">
        <v>90.46</v>
      </c>
      <c r="G717" t="str">
        <f t="shared" si="22"/>
        <v>0–500</v>
      </c>
      <c r="H717" s="1">
        <v>966.3</v>
      </c>
      <c r="I717" t="str">
        <f t="shared" si="23"/>
        <v>501–1000</v>
      </c>
      <c r="J717" t="s">
        <v>11</v>
      </c>
      <c r="K717" t="str">
        <f>IF(logistics_classification_dataset__1[[#This Row],[Customer_Segment]]="Bireysel","Individual",IF(logistics_classification_dataset__1[[#This Row],[Customer_Segment]]="Kurumsal","Corporate"))</f>
        <v>Individual</v>
      </c>
      <c r="L717">
        <v>1</v>
      </c>
    </row>
    <row r="718" spans="1:12" x14ac:dyDescent="0.35">
      <c r="A718">
        <v>717</v>
      </c>
      <c r="B718" t="s">
        <v>18</v>
      </c>
      <c r="C718" t="s">
        <v>9</v>
      </c>
      <c r="D718" t="s">
        <v>10</v>
      </c>
      <c r="E718" t="str">
        <f>IF(logistics_classification_dataset__1[[#This Row],[Shipment_Type]]="Kara","Road",IF(logistics_classification_dataset__1[[#This Row],[Shipment_Type]]="Hava","Air",IF(logistics_classification_dataset__1[[#This Row],[Shipment_Type]]="Deniz","Sea")))</f>
        <v>Road</v>
      </c>
      <c r="F718">
        <v>895.54</v>
      </c>
      <c r="G718" t="str">
        <f t="shared" si="22"/>
        <v>501–1000</v>
      </c>
      <c r="H718" s="1">
        <v>1029.9000000000001</v>
      </c>
      <c r="I718" t="str">
        <f t="shared" si="23"/>
        <v>1001–1500</v>
      </c>
      <c r="J718" t="s">
        <v>11</v>
      </c>
      <c r="K718" t="str">
        <f>IF(logistics_classification_dataset__1[[#This Row],[Customer_Segment]]="Bireysel","Individual",IF(logistics_classification_dataset__1[[#This Row],[Customer_Segment]]="Kurumsal","Corporate"))</f>
        <v>Individual</v>
      </c>
      <c r="L718">
        <v>1</v>
      </c>
    </row>
    <row r="719" spans="1:12" x14ac:dyDescent="0.35">
      <c r="A719">
        <v>718</v>
      </c>
      <c r="B719" t="s">
        <v>9</v>
      </c>
      <c r="C719" t="s">
        <v>18</v>
      </c>
      <c r="D719" t="s">
        <v>10</v>
      </c>
      <c r="E719" t="str">
        <f>IF(logistics_classification_dataset__1[[#This Row],[Shipment_Type]]="Kara","Road",IF(logistics_classification_dataset__1[[#This Row],[Shipment_Type]]="Hava","Air",IF(logistics_classification_dataset__1[[#This Row],[Shipment_Type]]="Deniz","Sea")))</f>
        <v>Road</v>
      </c>
      <c r="F719">
        <v>144.66</v>
      </c>
      <c r="G719" t="str">
        <f t="shared" si="22"/>
        <v>0–500</v>
      </c>
      <c r="H719" s="1">
        <v>441.5</v>
      </c>
      <c r="I719" t="str">
        <f t="shared" si="23"/>
        <v>0–500</v>
      </c>
      <c r="J719" t="s">
        <v>14</v>
      </c>
      <c r="K719" t="str">
        <f>IF(logistics_classification_dataset__1[[#This Row],[Customer_Segment]]="Bireysel","Individual",IF(logistics_classification_dataset__1[[#This Row],[Customer_Segment]]="Kurumsal","Corporate"))</f>
        <v>Corporate</v>
      </c>
      <c r="L719">
        <v>1</v>
      </c>
    </row>
    <row r="720" spans="1:12" x14ac:dyDescent="0.35">
      <c r="A720">
        <v>719</v>
      </c>
      <c r="B720" t="s">
        <v>16</v>
      </c>
      <c r="C720" t="s">
        <v>17</v>
      </c>
      <c r="D720" t="s">
        <v>15</v>
      </c>
      <c r="E720" t="str">
        <f>IF(logistics_classification_dataset__1[[#This Row],[Shipment_Type]]="Kara","Road",IF(logistics_classification_dataset__1[[#This Row],[Shipment_Type]]="Hava","Air",IF(logistics_classification_dataset__1[[#This Row],[Shipment_Type]]="Deniz","Sea")))</f>
        <v>Air</v>
      </c>
      <c r="F720">
        <v>1459.82</v>
      </c>
      <c r="G720" t="str">
        <f t="shared" si="22"/>
        <v>1001–1500</v>
      </c>
      <c r="H720" s="1">
        <v>664.3</v>
      </c>
      <c r="I720" t="str">
        <f t="shared" si="23"/>
        <v>501–1000</v>
      </c>
      <c r="J720" t="s">
        <v>14</v>
      </c>
      <c r="K720" t="str">
        <f>IF(logistics_classification_dataset__1[[#This Row],[Customer_Segment]]="Bireysel","Individual",IF(logistics_classification_dataset__1[[#This Row],[Customer_Segment]]="Kurumsal","Corporate"))</f>
        <v>Corporate</v>
      </c>
      <c r="L720">
        <v>1</v>
      </c>
    </row>
    <row r="721" spans="1:12" x14ac:dyDescent="0.35">
      <c r="A721">
        <v>720</v>
      </c>
      <c r="B721" t="s">
        <v>12</v>
      </c>
      <c r="C721" t="s">
        <v>13</v>
      </c>
      <c r="D721" t="s">
        <v>10</v>
      </c>
      <c r="E721" t="str">
        <f>IF(logistics_classification_dataset__1[[#This Row],[Shipment_Type]]="Kara","Road",IF(logistics_classification_dataset__1[[#This Row],[Shipment_Type]]="Hava","Air",IF(logistics_classification_dataset__1[[#This Row],[Shipment_Type]]="Deniz","Sea")))</f>
        <v>Road</v>
      </c>
      <c r="F721">
        <v>1218.78</v>
      </c>
      <c r="G721" t="str">
        <f t="shared" si="22"/>
        <v>1001–1500</v>
      </c>
      <c r="H721" s="1">
        <v>1593.2</v>
      </c>
      <c r="I721" t="str">
        <f t="shared" si="23"/>
        <v>1501–2000</v>
      </c>
      <c r="J721" t="s">
        <v>11</v>
      </c>
      <c r="K721" t="str">
        <f>IF(logistics_classification_dataset__1[[#This Row],[Customer_Segment]]="Bireysel","Individual",IF(logistics_classification_dataset__1[[#This Row],[Customer_Segment]]="Kurumsal","Corporate"))</f>
        <v>Individual</v>
      </c>
      <c r="L721">
        <v>1</v>
      </c>
    </row>
    <row r="722" spans="1:12" x14ac:dyDescent="0.35">
      <c r="A722">
        <v>721</v>
      </c>
      <c r="B722" t="s">
        <v>17</v>
      </c>
      <c r="C722" t="s">
        <v>12</v>
      </c>
      <c r="D722" t="s">
        <v>15</v>
      </c>
      <c r="E722" t="str">
        <f>IF(logistics_classification_dataset__1[[#This Row],[Shipment_Type]]="Kara","Road",IF(logistics_classification_dataset__1[[#This Row],[Shipment_Type]]="Hava","Air",IF(logistics_classification_dataset__1[[#This Row],[Shipment_Type]]="Deniz","Sea")))</f>
        <v>Air</v>
      </c>
      <c r="F722">
        <v>1414.74</v>
      </c>
      <c r="G722" t="str">
        <f t="shared" si="22"/>
        <v>1001–1500</v>
      </c>
      <c r="H722" s="1">
        <v>1835.8</v>
      </c>
      <c r="I722" t="str">
        <f t="shared" si="23"/>
        <v>1501–2000</v>
      </c>
      <c r="J722" t="s">
        <v>11</v>
      </c>
      <c r="K722" t="str">
        <f>IF(logistics_classification_dataset__1[[#This Row],[Customer_Segment]]="Bireysel","Individual",IF(logistics_classification_dataset__1[[#This Row],[Customer_Segment]]="Kurumsal","Corporate"))</f>
        <v>Individual</v>
      </c>
      <c r="L722">
        <v>1</v>
      </c>
    </row>
    <row r="723" spans="1:12" x14ac:dyDescent="0.35">
      <c r="A723">
        <v>722</v>
      </c>
      <c r="B723" t="s">
        <v>13</v>
      </c>
      <c r="C723" t="s">
        <v>8</v>
      </c>
      <c r="D723" t="s">
        <v>10</v>
      </c>
      <c r="E723" t="str">
        <f>IF(logistics_classification_dataset__1[[#This Row],[Shipment_Type]]="Kara","Road",IF(logistics_classification_dataset__1[[#This Row],[Shipment_Type]]="Hava","Air",IF(logistics_classification_dataset__1[[#This Row],[Shipment_Type]]="Deniz","Sea")))</f>
        <v>Road</v>
      </c>
      <c r="F723">
        <v>752.09</v>
      </c>
      <c r="G723" t="str">
        <f t="shared" si="22"/>
        <v>501–1000</v>
      </c>
      <c r="H723" s="1">
        <v>751.6</v>
      </c>
      <c r="I723" t="str">
        <f t="shared" si="23"/>
        <v>501–1000</v>
      </c>
      <c r="J723" t="s">
        <v>14</v>
      </c>
      <c r="K723" t="str">
        <f>IF(logistics_classification_dataset__1[[#This Row],[Customer_Segment]]="Bireysel","Individual",IF(logistics_classification_dataset__1[[#This Row],[Customer_Segment]]="Kurumsal","Corporate"))</f>
        <v>Corporate</v>
      </c>
      <c r="L723">
        <v>1</v>
      </c>
    </row>
    <row r="724" spans="1:12" x14ac:dyDescent="0.35">
      <c r="A724">
        <v>723</v>
      </c>
      <c r="B724" t="s">
        <v>9</v>
      </c>
      <c r="C724" t="s">
        <v>17</v>
      </c>
      <c r="D724" t="s">
        <v>15</v>
      </c>
      <c r="E724" t="str">
        <f>IF(logistics_classification_dataset__1[[#This Row],[Shipment_Type]]="Kara","Road",IF(logistics_classification_dataset__1[[#This Row],[Shipment_Type]]="Hava","Air",IF(logistics_classification_dataset__1[[#This Row],[Shipment_Type]]="Deniz","Sea")))</f>
        <v>Air</v>
      </c>
      <c r="F724">
        <v>742.12</v>
      </c>
      <c r="G724" t="str">
        <f t="shared" si="22"/>
        <v>501–1000</v>
      </c>
      <c r="H724" s="1">
        <v>648.6</v>
      </c>
      <c r="I724" t="str">
        <f t="shared" si="23"/>
        <v>501–1000</v>
      </c>
      <c r="J724" t="s">
        <v>14</v>
      </c>
      <c r="K724" t="str">
        <f>IF(logistics_classification_dataset__1[[#This Row],[Customer_Segment]]="Bireysel","Individual",IF(logistics_classification_dataset__1[[#This Row],[Customer_Segment]]="Kurumsal","Corporate"))</f>
        <v>Corporate</v>
      </c>
      <c r="L724">
        <v>1</v>
      </c>
    </row>
    <row r="725" spans="1:12" x14ac:dyDescent="0.35">
      <c r="A725">
        <v>724</v>
      </c>
      <c r="B725" t="s">
        <v>17</v>
      </c>
      <c r="C725" t="s">
        <v>22</v>
      </c>
      <c r="D725" t="s">
        <v>10</v>
      </c>
      <c r="E725" t="str">
        <f>IF(logistics_classification_dataset__1[[#This Row],[Shipment_Type]]="Kara","Road",IF(logistics_classification_dataset__1[[#This Row],[Shipment_Type]]="Hava","Air",IF(logistics_classification_dataset__1[[#This Row],[Shipment_Type]]="Deniz","Sea")))</f>
        <v>Road</v>
      </c>
      <c r="F725">
        <v>95.41</v>
      </c>
      <c r="G725" t="str">
        <f t="shared" si="22"/>
        <v>0–500</v>
      </c>
      <c r="H725" s="1">
        <v>430.6</v>
      </c>
      <c r="I725" t="str">
        <f t="shared" si="23"/>
        <v>0–500</v>
      </c>
      <c r="J725" t="s">
        <v>11</v>
      </c>
      <c r="K725" t="str">
        <f>IF(logistics_classification_dataset__1[[#This Row],[Customer_Segment]]="Bireysel","Individual",IF(logistics_classification_dataset__1[[#This Row],[Customer_Segment]]="Kurumsal","Corporate"))</f>
        <v>Individual</v>
      </c>
      <c r="L725">
        <v>0</v>
      </c>
    </row>
    <row r="726" spans="1:12" x14ac:dyDescent="0.35">
      <c r="A726">
        <v>725</v>
      </c>
      <c r="B726" t="s">
        <v>9</v>
      </c>
      <c r="C726" t="s">
        <v>8</v>
      </c>
      <c r="D726" t="s">
        <v>10</v>
      </c>
      <c r="E726" t="str">
        <f>IF(logistics_classification_dataset__1[[#This Row],[Shipment_Type]]="Kara","Road",IF(logistics_classification_dataset__1[[#This Row],[Shipment_Type]]="Hava","Air",IF(logistics_classification_dataset__1[[#This Row],[Shipment_Type]]="Deniz","Sea")))</f>
        <v>Road</v>
      </c>
      <c r="F726">
        <v>703.14</v>
      </c>
      <c r="G726" t="str">
        <f t="shared" si="22"/>
        <v>501–1000</v>
      </c>
      <c r="H726" s="1">
        <v>1373.1</v>
      </c>
      <c r="I726" t="str">
        <f t="shared" si="23"/>
        <v>1001–1500</v>
      </c>
      <c r="J726" t="s">
        <v>14</v>
      </c>
      <c r="K726" t="str">
        <f>IF(logistics_classification_dataset__1[[#This Row],[Customer_Segment]]="Bireysel","Individual",IF(logistics_classification_dataset__1[[#This Row],[Customer_Segment]]="Kurumsal","Corporate"))</f>
        <v>Corporate</v>
      </c>
      <c r="L726">
        <v>1</v>
      </c>
    </row>
    <row r="727" spans="1:12" x14ac:dyDescent="0.35">
      <c r="A727">
        <v>726</v>
      </c>
      <c r="B727" t="s">
        <v>12</v>
      </c>
      <c r="C727" t="s">
        <v>16</v>
      </c>
      <c r="D727" t="s">
        <v>15</v>
      </c>
      <c r="E727" t="str">
        <f>IF(logistics_classification_dataset__1[[#This Row],[Shipment_Type]]="Kara","Road",IF(logistics_classification_dataset__1[[#This Row],[Shipment_Type]]="Hava","Air",IF(logistics_classification_dataset__1[[#This Row],[Shipment_Type]]="Deniz","Sea")))</f>
        <v>Air</v>
      </c>
      <c r="F727">
        <v>1858.93</v>
      </c>
      <c r="G727" t="str">
        <f t="shared" si="22"/>
        <v>1501–2000</v>
      </c>
      <c r="H727" s="1">
        <v>680</v>
      </c>
      <c r="I727" t="str">
        <f t="shared" si="23"/>
        <v>501–1000</v>
      </c>
      <c r="J727" t="s">
        <v>11</v>
      </c>
      <c r="K727" t="str">
        <f>IF(logistics_classification_dataset__1[[#This Row],[Customer_Segment]]="Bireysel","Individual",IF(logistics_classification_dataset__1[[#This Row],[Customer_Segment]]="Kurumsal","Corporate"))</f>
        <v>Individual</v>
      </c>
      <c r="L727">
        <v>1</v>
      </c>
    </row>
    <row r="728" spans="1:12" x14ac:dyDescent="0.35">
      <c r="A728">
        <v>727</v>
      </c>
      <c r="B728" t="s">
        <v>13</v>
      </c>
      <c r="C728" t="s">
        <v>16</v>
      </c>
      <c r="D728" t="s">
        <v>10</v>
      </c>
      <c r="E728" t="str">
        <f>IF(logistics_classification_dataset__1[[#This Row],[Shipment_Type]]="Kara","Road",IF(logistics_classification_dataset__1[[#This Row],[Shipment_Type]]="Hava","Air",IF(logistics_classification_dataset__1[[#This Row],[Shipment_Type]]="Deniz","Sea")))</f>
        <v>Road</v>
      </c>
      <c r="F728">
        <v>761.56</v>
      </c>
      <c r="G728" t="str">
        <f t="shared" si="22"/>
        <v>501–1000</v>
      </c>
      <c r="H728" s="1">
        <v>1976.1</v>
      </c>
      <c r="I728" t="str">
        <f t="shared" si="23"/>
        <v>1501–2000</v>
      </c>
      <c r="J728" t="s">
        <v>14</v>
      </c>
      <c r="K728" t="str">
        <f>IF(logistics_classification_dataset__1[[#This Row],[Customer_Segment]]="Bireysel","Individual",IF(logistics_classification_dataset__1[[#This Row],[Customer_Segment]]="Kurumsal","Corporate"))</f>
        <v>Corporate</v>
      </c>
      <c r="L728">
        <v>1</v>
      </c>
    </row>
    <row r="729" spans="1:12" x14ac:dyDescent="0.35">
      <c r="A729">
        <v>728</v>
      </c>
      <c r="B729" t="s">
        <v>16</v>
      </c>
      <c r="C729" t="s">
        <v>21</v>
      </c>
      <c r="D729" t="s">
        <v>10</v>
      </c>
      <c r="E729" t="str">
        <f>IF(logistics_classification_dataset__1[[#This Row],[Shipment_Type]]="Kara","Road",IF(logistics_classification_dataset__1[[#This Row],[Shipment_Type]]="Hava","Air",IF(logistics_classification_dataset__1[[#This Row],[Shipment_Type]]="Deniz","Sea")))</f>
        <v>Road</v>
      </c>
      <c r="F729">
        <v>1663.58</v>
      </c>
      <c r="G729" t="str">
        <f t="shared" si="22"/>
        <v>1501–2000</v>
      </c>
      <c r="H729" s="1">
        <v>685.1</v>
      </c>
      <c r="I729" t="str">
        <f t="shared" si="23"/>
        <v>501–1000</v>
      </c>
      <c r="J729" t="s">
        <v>11</v>
      </c>
      <c r="K729" t="str">
        <f>IF(logistics_classification_dataset__1[[#This Row],[Customer_Segment]]="Bireysel","Individual",IF(logistics_classification_dataset__1[[#This Row],[Customer_Segment]]="Kurumsal","Corporate"))</f>
        <v>Individual</v>
      </c>
      <c r="L729">
        <v>1</v>
      </c>
    </row>
    <row r="730" spans="1:12" x14ac:dyDescent="0.35">
      <c r="A730">
        <v>729</v>
      </c>
      <c r="B730" t="s">
        <v>22</v>
      </c>
      <c r="C730" t="s">
        <v>20</v>
      </c>
      <c r="D730" t="s">
        <v>19</v>
      </c>
      <c r="E730" t="str">
        <f>IF(logistics_classification_dataset__1[[#This Row],[Shipment_Type]]="Kara","Road",IF(logistics_classification_dataset__1[[#This Row],[Shipment_Type]]="Hava","Air",IF(logistics_classification_dataset__1[[#This Row],[Shipment_Type]]="Deniz","Sea")))</f>
        <v>Sea</v>
      </c>
      <c r="F730">
        <v>1685.44</v>
      </c>
      <c r="G730" t="str">
        <f t="shared" si="22"/>
        <v>1501–2000</v>
      </c>
      <c r="H730" s="1">
        <v>818.6</v>
      </c>
      <c r="I730" t="str">
        <f t="shared" si="23"/>
        <v>501–1000</v>
      </c>
      <c r="J730" t="s">
        <v>11</v>
      </c>
      <c r="K730" t="str">
        <f>IF(logistics_classification_dataset__1[[#This Row],[Customer_Segment]]="Bireysel","Individual",IF(logistics_classification_dataset__1[[#This Row],[Customer_Segment]]="Kurumsal","Corporate"))</f>
        <v>Individual</v>
      </c>
      <c r="L730">
        <v>1</v>
      </c>
    </row>
    <row r="731" spans="1:12" x14ac:dyDescent="0.35">
      <c r="A731">
        <v>730</v>
      </c>
      <c r="B731" t="s">
        <v>21</v>
      </c>
      <c r="C731" t="s">
        <v>17</v>
      </c>
      <c r="D731" t="s">
        <v>10</v>
      </c>
      <c r="E731" t="str">
        <f>IF(logistics_classification_dataset__1[[#This Row],[Shipment_Type]]="Kara","Road",IF(logistics_classification_dataset__1[[#This Row],[Shipment_Type]]="Hava","Air",IF(logistics_classification_dataset__1[[#This Row],[Shipment_Type]]="Deniz","Sea")))</f>
        <v>Road</v>
      </c>
      <c r="F731">
        <v>749.62</v>
      </c>
      <c r="G731" t="str">
        <f t="shared" si="22"/>
        <v>501–1000</v>
      </c>
      <c r="H731" s="1">
        <v>1226.5</v>
      </c>
      <c r="I731" t="str">
        <f t="shared" si="23"/>
        <v>1001–1500</v>
      </c>
      <c r="J731" t="s">
        <v>14</v>
      </c>
      <c r="K731" t="str">
        <f>IF(logistics_classification_dataset__1[[#This Row],[Customer_Segment]]="Bireysel","Individual",IF(logistics_classification_dataset__1[[#This Row],[Customer_Segment]]="Kurumsal","Corporate"))</f>
        <v>Corporate</v>
      </c>
      <c r="L731">
        <v>1</v>
      </c>
    </row>
    <row r="732" spans="1:12" x14ac:dyDescent="0.35">
      <c r="A732">
        <v>731</v>
      </c>
      <c r="B732" t="s">
        <v>16</v>
      </c>
      <c r="C732" t="s">
        <v>13</v>
      </c>
      <c r="D732" t="s">
        <v>10</v>
      </c>
      <c r="E732" t="str">
        <f>IF(logistics_classification_dataset__1[[#This Row],[Shipment_Type]]="Kara","Road",IF(logistics_classification_dataset__1[[#This Row],[Shipment_Type]]="Hava","Air",IF(logistics_classification_dataset__1[[#This Row],[Shipment_Type]]="Deniz","Sea")))</f>
        <v>Road</v>
      </c>
      <c r="F732">
        <v>1265.82</v>
      </c>
      <c r="G732" t="str">
        <f t="shared" si="22"/>
        <v>1001–1500</v>
      </c>
      <c r="H732" s="1">
        <v>1613.3</v>
      </c>
      <c r="I732" t="str">
        <f t="shared" si="23"/>
        <v>1501–2000</v>
      </c>
      <c r="J732" t="s">
        <v>11</v>
      </c>
      <c r="K732" t="str">
        <f>IF(logistics_classification_dataset__1[[#This Row],[Customer_Segment]]="Bireysel","Individual",IF(logistics_classification_dataset__1[[#This Row],[Customer_Segment]]="Kurumsal","Corporate"))</f>
        <v>Individual</v>
      </c>
      <c r="L732">
        <v>1</v>
      </c>
    </row>
    <row r="733" spans="1:12" x14ac:dyDescent="0.35">
      <c r="A733">
        <v>732</v>
      </c>
      <c r="B733" t="s">
        <v>22</v>
      </c>
      <c r="C733" t="s">
        <v>8</v>
      </c>
      <c r="D733" t="s">
        <v>15</v>
      </c>
      <c r="E733" t="str">
        <f>IF(logistics_classification_dataset__1[[#This Row],[Shipment_Type]]="Kara","Road",IF(logistics_classification_dataset__1[[#This Row],[Shipment_Type]]="Hava","Air",IF(logistics_classification_dataset__1[[#This Row],[Shipment_Type]]="Deniz","Sea")))</f>
        <v>Air</v>
      </c>
      <c r="F733">
        <v>195.27</v>
      </c>
      <c r="G733" t="str">
        <f t="shared" si="22"/>
        <v>0–500</v>
      </c>
      <c r="H733" s="1">
        <v>965.6</v>
      </c>
      <c r="I733" t="str">
        <f t="shared" si="23"/>
        <v>501–1000</v>
      </c>
      <c r="J733" t="s">
        <v>11</v>
      </c>
      <c r="K733" t="str">
        <f>IF(logistics_classification_dataset__1[[#This Row],[Customer_Segment]]="Bireysel","Individual",IF(logistics_classification_dataset__1[[#This Row],[Customer_Segment]]="Kurumsal","Corporate"))</f>
        <v>Individual</v>
      </c>
      <c r="L733">
        <v>1</v>
      </c>
    </row>
    <row r="734" spans="1:12" x14ac:dyDescent="0.35">
      <c r="A734">
        <v>733</v>
      </c>
      <c r="B734" t="s">
        <v>18</v>
      </c>
      <c r="C734" t="s">
        <v>20</v>
      </c>
      <c r="D734" t="s">
        <v>15</v>
      </c>
      <c r="E734" t="str">
        <f>IF(logistics_classification_dataset__1[[#This Row],[Shipment_Type]]="Kara","Road",IF(logistics_classification_dataset__1[[#This Row],[Shipment_Type]]="Hava","Air",IF(logistics_classification_dataset__1[[#This Row],[Shipment_Type]]="Deniz","Sea")))</f>
        <v>Air</v>
      </c>
      <c r="F734">
        <v>211.84</v>
      </c>
      <c r="G734" t="str">
        <f t="shared" si="22"/>
        <v>0–500</v>
      </c>
      <c r="H734" s="1">
        <v>874.2</v>
      </c>
      <c r="I734" t="str">
        <f t="shared" si="23"/>
        <v>501–1000</v>
      </c>
      <c r="J734" t="s">
        <v>11</v>
      </c>
      <c r="K734" t="str">
        <f>IF(logistics_classification_dataset__1[[#This Row],[Customer_Segment]]="Bireysel","Individual",IF(logistics_classification_dataset__1[[#This Row],[Customer_Segment]]="Kurumsal","Corporate"))</f>
        <v>Individual</v>
      </c>
      <c r="L734">
        <v>1</v>
      </c>
    </row>
    <row r="735" spans="1:12" x14ac:dyDescent="0.35">
      <c r="A735">
        <v>734</v>
      </c>
      <c r="B735" t="s">
        <v>20</v>
      </c>
      <c r="C735" t="s">
        <v>12</v>
      </c>
      <c r="D735" t="s">
        <v>15</v>
      </c>
      <c r="E735" t="str">
        <f>IF(logistics_classification_dataset__1[[#This Row],[Shipment_Type]]="Kara","Road",IF(logistics_classification_dataset__1[[#This Row],[Shipment_Type]]="Hava","Air",IF(logistics_classification_dataset__1[[#This Row],[Shipment_Type]]="Deniz","Sea")))</f>
        <v>Air</v>
      </c>
      <c r="F735">
        <v>102.07</v>
      </c>
      <c r="G735" t="str">
        <f t="shared" si="22"/>
        <v>0–500</v>
      </c>
      <c r="H735" s="1">
        <v>1991.5</v>
      </c>
      <c r="I735" t="str">
        <f t="shared" si="23"/>
        <v>1501–2000</v>
      </c>
      <c r="J735" t="s">
        <v>14</v>
      </c>
      <c r="K735" t="str">
        <f>IF(logistics_classification_dataset__1[[#This Row],[Customer_Segment]]="Bireysel","Individual",IF(logistics_classification_dataset__1[[#This Row],[Customer_Segment]]="Kurumsal","Corporate"))</f>
        <v>Corporate</v>
      </c>
      <c r="L735">
        <v>1</v>
      </c>
    </row>
    <row r="736" spans="1:12" x14ac:dyDescent="0.35">
      <c r="A736">
        <v>735</v>
      </c>
      <c r="B736" t="s">
        <v>8</v>
      </c>
      <c r="C736" t="s">
        <v>22</v>
      </c>
      <c r="D736" t="s">
        <v>10</v>
      </c>
      <c r="E736" t="str">
        <f>IF(logistics_classification_dataset__1[[#This Row],[Shipment_Type]]="Kara","Road",IF(logistics_classification_dataset__1[[#This Row],[Shipment_Type]]="Hava","Air",IF(logistics_classification_dataset__1[[#This Row],[Shipment_Type]]="Deniz","Sea")))</f>
        <v>Road</v>
      </c>
      <c r="F736">
        <v>1164.1300000000001</v>
      </c>
      <c r="G736" t="str">
        <f t="shared" si="22"/>
        <v>1001–1500</v>
      </c>
      <c r="H736" s="1">
        <v>70.5</v>
      </c>
      <c r="I736" t="str">
        <f t="shared" si="23"/>
        <v>0–500</v>
      </c>
      <c r="J736" t="s">
        <v>14</v>
      </c>
      <c r="K736" t="str">
        <f>IF(logistics_classification_dataset__1[[#This Row],[Customer_Segment]]="Bireysel","Individual",IF(logistics_classification_dataset__1[[#This Row],[Customer_Segment]]="Kurumsal","Corporate"))</f>
        <v>Corporate</v>
      </c>
      <c r="L736">
        <v>1</v>
      </c>
    </row>
    <row r="737" spans="1:12" x14ac:dyDescent="0.35">
      <c r="A737">
        <v>736</v>
      </c>
      <c r="B737" t="s">
        <v>8</v>
      </c>
      <c r="C737" t="s">
        <v>21</v>
      </c>
      <c r="D737" t="s">
        <v>15</v>
      </c>
      <c r="E737" t="str">
        <f>IF(logistics_classification_dataset__1[[#This Row],[Shipment_Type]]="Kara","Road",IF(logistics_classification_dataset__1[[#This Row],[Shipment_Type]]="Hava","Air",IF(logistics_classification_dataset__1[[#This Row],[Shipment_Type]]="Deniz","Sea")))</f>
        <v>Air</v>
      </c>
      <c r="F737">
        <v>855.01</v>
      </c>
      <c r="G737" t="str">
        <f t="shared" si="22"/>
        <v>501–1000</v>
      </c>
      <c r="H737" s="1">
        <v>1795.4</v>
      </c>
      <c r="I737" t="str">
        <f t="shared" si="23"/>
        <v>1501–2000</v>
      </c>
      <c r="J737" t="s">
        <v>14</v>
      </c>
      <c r="K737" t="str">
        <f>IF(logistics_classification_dataset__1[[#This Row],[Customer_Segment]]="Bireysel","Individual",IF(logistics_classification_dataset__1[[#This Row],[Customer_Segment]]="Kurumsal","Corporate"))</f>
        <v>Corporate</v>
      </c>
      <c r="L737">
        <v>1</v>
      </c>
    </row>
    <row r="738" spans="1:12" x14ac:dyDescent="0.35">
      <c r="A738">
        <v>737</v>
      </c>
      <c r="B738" t="s">
        <v>21</v>
      </c>
      <c r="C738" t="s">
        <v>20</v>
      </c>
      <c r="D738" t="s">
        <v>10</v>
      </c>
      <c r="E738" t="str">
        <f>IF(logistics_classification_dataset__1[[#This Row],[Shipment_Type]]="Kara","Road",IF(logistics_classification_dataset__1[[#This Row],[Shipment_Type]]="Hava","Air",IF(logistics_classification_dataset__1[[#This Row],[Shipment_Type]]="Deniz","Sea")))</f>
        <v>Road</v>
      </c>
      <c r="F738">
        <v>1098.32</v>
      </c>
      <c r="G738" t="str">
        <f t="shared" si="22"/>
        <v>1001–1500</v>
      </c>
      <c r="H738" s="1">
        <v>340.8</v>
      </c>
      <c r="I738" t="str">
        <f t="shared" si="23"/>
        <v>0–500</v>
      </c>
      <c r="J738" t="s">
        <v>11</v>
      </c>
      <c r="K738" t="str">
        <f>IF(logistics_classification_dataset__1[[#This Row],[Customer_Segment]]="Bireysel","Individual",IF(logistics_classification_dataset__1[[#This Row],[Customer_Segment]]="Kurumsal","Corporate"))</f>
        <v>Individual</v>
      </c>
      <c r="L738">
        <v>1</v>
      </c>
    </row>
    <row r="739" spans="1:12" x14ac:dyDescent="0.35">
      <c r="A739">
        <v>738</v>
      </c>
      <c r="B739" t="s">
        <v>13</v>
      </c>
      <c r="C739" t="s">
        <v>9</v>
      </c>
      <c r="D739" t="s">
        <v>15</v>
      </c>
      <c r="E739" t="str">
        <f>IF(logistics_classification_dataset__1[[#This Row],[Shipment_Type]]="Kara","Road",IF(logistics_classification_dataset__1[[#This Row],[Shipment_Type]]="Hava","Air",IF(logistics_classification_dataset__1[[#This Row],[Shipment_Type]]="Deniz","Sea")))</f>
        <v>Air</v>
      </c>
      <c r="F739">
        <v>1044.54</v>
      </c>
      <c r="G739" t="str">
        <f t="shared" si="22"/>
        <v>1001–1500</v>
      </c>
      <c r="H739" s="1">
        <v>1582.6</v>
      </c>
      <c r="I739" t="str">
        <f t="shared" si="23"/>
        <v>1501–2000</v>
      </c>
      <c r="J739" t="s">
        <v>14</v>
      </c>
      <c r="K739" t="str">
        <f>IF(logistics_classification_dataset__1[[#This Row],[Customer_Segment]]="Bireysel","Individual",IF(logistics_classification_dataset__1[[#This Row],[Customer_Segment]]="Kurumsal","Corporate"))</f>
        <v>Corporate</v>
      </c>
      <c r="L739">
        <v>1</v>
      </c>
    </row>
    <row r="740" spans="1:12" x14ac:dyDescent="0.35">
      <c r="A740">
        <v>739</v>
      </c>
      <c r="B740" t="s">
        <v>12</v>
      </c>
      <c r="C740" t="s">
        <v>20</v>
      </c>
      <c r="D740" t="s">
        <v>19</v>
      </c>
      <c r="E740" t="str">
        <f>IF(logistics_classification_dataset__1[[#This Row],[Shipment_Type]]="Kara","Road",IF(logistics_classification_dataset__1[[#This Row],[Shipment_Type]]="Hava","Air",IF(logistics_classification_dataset__1[[#This Row],[Shipment_Type]]="Deniz","Sea")))</f>
        <v>Sea</v>
      </c>
      <c r="F740">
        <v>703.65</v>
      </c>
      <c r="G740" t="str">
        <f t="shared" si="22"/>
        <v>501–1000</v>
      </c>
      <c r="H740" s="1">
        <v>1255</v>
      </c>
      <c r="I740" t="str">
        <f t="shared" si="23"/>
        <v>1001–1500</v>
      </c>
      <c r="J740" t="s">
        <v>11</v>
      </c>
      <c r="K740" t="str">
        <f>IF(logistics_classification_dataset__1[[#This Row],[Customer_Segment]]="Bireysel","Individual",IF(logistics_classification_dataset__1[[#This Row],[Customer_Segment]]="Kurumsal","Corporate"))</f>
        <v>Individual</v>
      </c>
      <c r="L740">
        <v>1</v>
      </c>
    </row>
    <row r="741" spans="1:12" x14ac:dyDescent="0.35">
      <c r="A741">
        <v>740</v>
      </c>
      <c r="B741" t="s">
        <v>13</v>
      </c>
      <c r="C741" t="s">
        <v>20</v>
      </c>
      <c r="D741" t="s">
        <v>15</v>
      </c>
      <c r="E741" t="str">
        <f>IF(logistics_classification_dataset__1[[#This Row],[Shipment_Type]]="Kara","Road",IF(logistics_classification_dataset__1[[#This Row],[Shipment_Type]]="Hava","Air",IF(logistics_classification_dataset__1[[#This Row],[Shipment_Type]]="Deniz","Sea")))</f>
        <v>Air</v>
      </c>
      <c r="F741">
        <v>1356.56</v>
      </c>
      <c r="G741" t="str">
        <f t="shared" si="22"/>
        <v>1001–1500</v>
      </c>
      <c r="H741" s="1">
        <v>716.6</v>
      </c>
      <c r="I741" t="str">
        <f t="shared" si="23"/>
        <v>501–1000</v>
      </c>
      <c r="J741" t="s">
        <v>11</v>
      </c>
      <c r="K741" t="str">
        <f>IF(logistics_classification_dataset__1[[#This Row],[Customer_Segment]]="Bireysel","Individual",IF(logistics_classification_dataset__1[[#This Row],[Customer_Segment]]="Kurumsal","Corporate"))</f>
        <v>Individual</v>
      </c>
      <c r="L741">
        <v>1</v>
      </c>
    </row>
    <row r="742" spans="1:12" x14ac:dyDescent="0.35">
      <c r="A742">
        <v>741</v>
      </c>
      <c r="B742" t="s">
        <v>12</v>
      </c>
      <c r="C742" t="s">
        <v>22</v>
      </c>
      <c r="D742" t="s">
        <v>15</v>
      </c>
      <c r="E742" t="str">
        <f>IF(logistics_classification_dataset__1[[#This Row],[Shipment_Type]]="Kara","Road",IF(logistics_classification_dataset__1[[#This Row],[Shipment_Type]]="Hava","Air",IF(logistics_classification_dataset__1[[#This Row],[Shipment_Type]]="Deniz","Sea")))</f>
        <v>Air</v>
      </c>
      <c r="F742">
        <v>1518.21</v>
      </c>
      <c r="G742" t="str">
        <f t="shared" si="22"/>
        <v>1501–2000</v>
      </c>
      <c r="H742" s="1">
        <v>1754.1</v>
      </c>
      <c r="I742" t="str">
        <f t="shared" si="23"/>
        <v>1501–2000</v>
      </c>
      <c r="J742" t="s">
        <v>14</v>
      </c>
      <c r="K742" t="str">
        <f>IF(logistics_classification_dataset__1[[#This Row],[Customer_Segment]]="Bireysel","Individual",IF(logistics_classification_dataset__1[[#This Row],[Customer_Segment]]="Kurumsal","Corporate"))</f>
        <v>Corporate</v>
      </c>
      <c r="L742">
        <v>1</v>
      </c>
    </row>
    <row r="743" spans="1:12" x14ac:dyDescent="0.35">
      <c r="A743">
        <v>742</v>
      </c>
      <c r="B743" t="s">
        <v>13</v>
      </c>
      <c r="C743" t="s">
        <v>18</v>
      </c>
      <c r="D743" t="s">
        <v>10</v>
      </c>
      <c r="E743" t="str">
        <f>IF(logistics_classification_dataset__1[[#This Row],[Shipment_Type]]="Kara","Road",IF(logistics_classification_dataset__1[[#This Row],[Shipment_Type]]="Hava","Air",IF(logistics_classification_dataset__1[[#This Row],[Shipment_Type]]="Deniz","Sea")))</f>
        <v>Road</v>
      </c>
      <c r="F743">
        <v>34.18</v>
      </c>
      <c r="G743" t="str">
        <f t="shared" si="22"/>
        <v>0–500</v>
      </c>
      <c r="H743" s="1">
        <v>75.2</v>
      </c>
      <c r="I743" t="str">
        <f t="shared" si="23"/>
        <v>0–500</v>
      </c>
      <c r="J743" t="s">
        <v>11</v>
      </c>
      <c r="K743" t="str">
        <f>IF(logistics_classification_dataset__1[[#This Row],[Customer_Segment]]="Bireysel","Individual",IF(logistics_classification_dataset__1[[#This Row],[Customer_Segment]]="Kurumsal","Corporate"))</f>
        <v>Individual</v>
      </c>
      <c r="L743">
        <v>0</v>
      </c>
    </row>
    <row r="744" spans="1:12" x14ac:dyDescent="0.35">
      <c r="A744">
        <v>743</v>
      </c>
      <c r="B744" t="s">
        <v>20</v>
      </c>
      <c r="C744" t="s">
        <v>16</v>
      </c>
      <c r="D744" t="s">
        <v>15</v>
      </c>
      <c r="E744" t="str">
        <f>IF(logistics_classification_dataset__1[[#This Row],[Shipment_Type]]="Kara","Road",IF(logistics_classification_dataset__1[[#This Row],[Shipment_Type]]="Hava","Air",IF(logistics_classification_dataset__1[[#This Row],[Shipment_Type]]="Deniz","Sea")))</f>
        <v>Air</v>
      </c>
      <c r="F744">
        <v>418.45</v>
      </c>
      <c r="G744" t="str">
        <f t="shared" si="22"/>
        <v>0–500</v>
      </c>
      <c r="H744" s="1">
        <v>492</v>
      </c>
      <c r="I744" t="str">
        <f t="shared" si="23"/>
        <v>0–500</v>
      </c>
      <c r="J744" t="s">
        <v>11</v>
      </c>
      <c r="K744" t="str">
        <f>IF(logistics_classification_dataset__1[[#This Row],[Customer_Segment]]="Bireysel","Individual",IF(logistics_classification_dataset__1[[#This Row],[Customer_Segment]]="Kurumsal","Corporate"))</f>
        <v>Individual</v>
      </c>
      <c r="L744">
        <v>1</v>
      </c>
    </row>
    <row r="745" spans="1:12" x14ac:dyDescent="0.35">
      <c r="A745">
        <v>744</v>
      </c>
      <c r="B745" t="s">
        <v>18</v>
      </c>
      <c r="C745" t="s">
        <v>16</v>
      </c>
      <c r="D745" t="s">
        <v>15</v>
      </c>
      <c r="E745" t="str">
        <f>IF(logistics_classification_dataset__1[[#This Row],[Shipment_Type]]="Kara","Road",IF(logistics_classification_dataset__1[[#This Row],[Shipment_Type]]="Hava","Air",IF(logistics_classification_dataset__1[[#This Row],[Shipment_Type]]="Deniz","Sea")))</f>
        <v>Air</v>
      </c>
      <c r="F745">
        <v>1427.91</v>
      </c>
      <c r="G745" t="str">
        <f t="shared" si="22"/>
        <v>1001–1500</v>
      </c>
      <c r="H745" s="1">
        <v>1155.4000000000001</v>
      </c>
      <c r="I745" t="str">
        <f t="shared" si="23"/>
        <v>1001–1500</v>
      </c>
      <c r="J745" t="s">
        <v>11</v>
      </c>
      <c r="K745" t="str">
        <f>IF(logistics_classification_dataset__1[[#This Row],[Customer_Segment]]="Bireysel","Individual",IF(logistics_classification_dataset__1[[#This Row],[Customer_Segment]]="Kurumsal","Corporate"))</f>
        <v>Individual</v>
      </c>
      <c r="L745">
        <v>0</v>
      </c>
    </row>
    <row r="746" spans="1:12" x14ac:dyDescent="0.35">
      <c r="A746">
        <v>745</v>
      </c>
      <c r="B746" t="s">
        <v>18</v>
      </c>
      <c r="C746" t="s">
        <v>9</v>
      </c>
      <c r="D746" t="s">
        <v>10</v>
      </c>
      <c r="E746" t="str">
        <f>IF(logistics_classification_dataset__1[[#This Row],[Shipment_Type]]="Kara","Road",IF(logistics_classification_dataset__1[[#This Row],[Shipment_Type]]="Hava","Air",IF(logistics_classification_dataset__1[[#This Row],[Shipment_Type]]="Deniz","Sea")))</f>
        <v>Road</v>
      </c>
      <c r="F746">
        <v>776.31</v>
      </c>
      <c r="G746" t="str">
        <f t="shared" si="22"/>
        <v>501–1000</v>
      </c>
      <c r="H746" s="1">
        <v>735.5</v>
      </c>
      <c r="I746" t="str">
        <f t="shared" si="23"/>
        <v>501–1000</v>
      </c>
      <c r="J746" t="s">
        <v>11</v>
      </c>
      <c r="K746" t="str">
        <f>IF(logistics_classification_dataset__1[[#This Row],[Customer_Segment]]="Bireysel","Individual",IF(logistics_classification_dataset__1[[#This Row],[Customer_Segment]]="Kurumsal","Corporate"))</f>
        <v>Individual</v>
      </c>
      <c r="L746">
        <v>1</v>
      </c>
    </row>
    <row r="747" spans="1:12" x14ac:dyDescent="0.35">
      <c r="A747">
        <v>746</v>
      </c>
      <c r="B747" t="s">
        <v>22</v>
      </c>
      <c r="C747" t="s">
        <v>13</v>
      </c>
      <c r="D747" t="s">
        <v>15</v>
      </c>
      <c r="E747" t="str">
        <f>IF(logistics_classification_dataset__1[[#This Row],[Shipment_Type]]="Kara","Road",IF(logistics_classification_dataset__1[[#This Row],[Shipment_Type]]="Hava","Air",IF(logistics_classification_dataset__1[[#This Row],[Shipment_Type]]="Deniz","Sea")))</f>
        <v>Air</v>
      </c>
      <c r="F747">
        <v>1326.66</v>
      </c>
      <c r="G747" t="str">
        <f t="shared" si="22"/>
        <v>1001–1500</v>
      </c>
      <c r="H747" s="1">
        <v>1240.2</v>
      </c>
      <c r="I747" t="str">
        <f t="shared" si="23"/>
        <v>1001–1500</v>
      </c>
      <c r="J747" t="s">
        <v>14</v>
      </c>
      <c r="K747" t="str">
        <f>IF(logistics_classification_dataset__1[[#This Row],[Customer_Segment]]="Bireysel","Individual",IF(logistics_classification_dataset__1[[#This Row],[Customer_Segment]]="Kurumsal","Corporate"))</f>
        <v>Corporate</v>
      </c>
      <c r="L747">
        <v>1</v>
      </c>
    </row>
    <row r="748" spans="1:12" x14ac:dyDescent="0.35">
      <c r="A748">
        <v>747</v>
      </c>
      <c r="B748" t="s">
        <v>17</v>
      </c>
      <c r="C748" t="s">
        <v>13</v>
      </c>
      <c r="D748" t="s">
        <v>10</v>
      </c>
      <c r="E748" t="str">
        <f>IF(logistics_classification_dataset__1[[#This Row],[Shipment_Type]]="Kara","Road",IF(logistics_classification_dataset__1[[#This Row],[Shipment_Type]]="Hava","Air",IF(logistics_classification_dataset__1[[#This Row],[Shipment_Type]]="Deniz","Sea")))</f>
        <v>Road</v>
      </c>
      <c r="F748">
        <v>697.19</v>
      </c>
      <c r="G748" t="str">
        <f t="shared" si="22"/>
        <v>501–1000</v>
      </c>
      <c r="H748" s="1">
        <v>97</v>
      </c>
      <c r="I748" t="str">
        <f t="shared" si="23"/>
        <v>0–500</v>
      </c>
      <c r="J748" t="s">
        <v>11</v>
      </c>
      <c r="K748" t="str">
        <f>IF(logistics_classification_dataset__1[[#This Row],[Customer_Segment]]="Bireysel","Individual",IF(logistics_classification_dataset__1[[#This Row],[Customer_Segment]]="Kurumsal","Corporate"))</f>
        <v>Individual</v>
      </c>
      <c r="L748">
        <v>1</v>
      </c>
    </row>
    <row r="749" spans="1:12" x14ac:dyDescent="0.35">
      <c r="A749">
        <v>748</v>
      </c>
      <c r="B749" t="s">
        <v>18</v>
      </c>
      <c r="C749" t="s">
        <v>12</v>
      </c>
      <c r="D749" t="s">
        <v>15</v>
      </c>
      <c r="E749" t="str">
        <f>IF(logistics_classification_dataset__1[[#This Row],[Shipment_Type]]="Kara","Road",IF(logistics_classification_dataset__1[[#This Row],[Shipment_Type]]="Hava","Air",IF(logistics_classification_dataset__1[[#This Row],[Shipment_Type]]="Deniz","Sea")))</f>
        <v>Air</v>
      </c>
      <c r="F749">
        <v>784.56</v>
      </c>
      <c r="G749" t="str">
        <f t="shared" si="22"/>
        <v>501–1000</v>
      </c>
      <c r="H749" s="1">
        <v>277.10000000000002</v>
      </c>
      <c r="I749" t="str">
        <f t="shared" si="23"/>
        <v>0–500</v>
      </c>
      <c r="J749" t="s">
        <v>14</v>
      </c>
      <c r="K749" t="str">
        <f>IF(logistics_classification_dataset__1[[#This Row],[Customer_Segment]]="Bireysel","Individual",IF(logistics_classification_dataset__1[[#This Row],[Customer_Segment]]="Kurumsal","Corporate"))</f>
        <v>Corporate</v>
      </c>
      <c r="L749">
        <v>1</v>
      </c>
    </row>
    <row r="750" spans="1:12" x14ac:dyDescent="0.35">
      <c r="A750">
        <v>749</v>
      </c>
      <c r="B750" t="s">
        <v>18</v>
      </c>
      <c r="C750" t="s">
        <v>8</v>
      </c>
      <c r="D750" t="s">
        <v>15</v>
      </c>
      <c r="E750" t="str">
        <f>IF(logistics_classification_dataset__1[[#This Row],[Shipment_Type]]="Kara","Road",IF(logistics_classification_dataset__1[[#This Row],[Shipment_Type]]="Hava","Air",IF(logistics_classification_dataset__1[[#This Row],[Shipment_Type]]="Deniz","Sea")))</f>
        <v>Air</v>
      </c>
      <c r="F750">
        <v>321.56</v>
      </c>
      <c r="G750" t="str">
        <f t="shared" si="22"/>
        <v>0–500</v>
      </c>
      <c r="H750" s="1">
        <v>297.8</v>
      </c>
      <c r="I750" t="str">
        <f t="shared" si="23"/>
        <v>0–500</v>
      </c>
      <c r="J750" t="s">
        <v>11</v>
      </c>
      <c r="K750" t="str">
        <f>IF(logistics_classification_dataset__1[[#This Row],[Customer_Segment]]="Bireysel","Individual",IF(logistics_classification_dataset__1[[#This Row],[Customer_Segment]]="Kurumsal","Corporate"))</f>
        <v>Individual</v>
      </c>
      <c r="L750">
        <v>1</v>
      </c>
    </row>
    <row r="751" spans="1:12" x14ac:dyDescent="0.35">
      <c r="A751">
        <v>750</v>
      </c>
      <c r="B751" t="s">
        <v>16</v>
      </c>
      <c r="C751" t="s">
        <v>17</v>
      </c>
      <c r="D751" t="s">
        <v>15</v>
      </c>
      <c r="E751" t="str">
        <f>IF(logistics_classification_dataset__1[[#This Row],[Shipment_Type]]="Kara","Road",IF(logistics_classification_dataset__1[[#This Row],[Shipment_Type]]="Hava","Air",IF(logistics_classification_dataset__1[[#This Row],[Shipment_Type]]="Deniz","Sea")))</f>
        <v>Air</v>
      </c>
      <c r="F751">
        <v>520.16999999999996</v>
      </c>
      <c r="G751" t="str">
        <f t="shared" si="22"/>
        <v>501–1000</v>
      </c>
      <c r="H751" s="1">
        <v>419.1</v>
      </c>
      <c r="I751" t="str">
        <f t="shared" si="23"/>
        <v>0–500</v>
      </c>
      <c r="J751" t="s">
        <v>11</v>
      </c>
      <c r="K751" t="str">
        <f>IF(logistics_classification_dataset__1[[#This Row],[Customer_Segment]]="Bireysel","Individual",IF(logistics_classification_dataset__1[[#This Row],[Customer_Segment]]="Kurumsal","Corporate"))</f>
        <v>Individual</v>
      </c>
      <c r="L751">
        <v>1</v>
      </c>
    </row>
    <row r="752" spans="1:12" x14ac:dyDescent="0.35">
      <c r="A752">
        <v>751</v>
      </c>
      <c r="B752" t="s">
        <v>16</v>
      </c>
      <c r="C752" t="s">
        <v>18</v>
      </c>
      <c r="D752" t="s">
        <v>10</v>
      </c>
      <c r="E752" t="str">
        <f>IF(logistics_classification_dataset__1[[#This Row],[Shipment_Type]]="Kara","Road",IF(logistics_classification_dataset__1[[#This Row],[Shipment_Type]]="Hava","Air",IF(logistics_classification_dataset__1[[#This Row],[Shipment_Type]]="Deniz","Sea")))</f>
        <v>Road</v>
      </c>
      <c r="F752">
        <v>121.28</v>
      </c>
      <c r="G752" t="str">
        <f t="shared" si="22"/>
        <v>0–500</v>
      </c>
      <c r="H752" s="1">
        <v>945.7</v>
      </c>
      <c r="I752" t="str">
        <f t="shared" si="23"/>
        <v>501–1000</v>
      </c>
      <c r="J752" t="s">
        <v>11</v>
      </c>
      <c r="K752" t="str">
        <f>IF(logistics_classification_dataset__1[[#This Row],[Customer_Segment]]="Bireysel","Individual",IF(logistics_classification_dataset__1[[#This Row],[Customer_Segment]]="Kurumsal","Corporate"))</f>
        <v>Individual</v>
      </c>
      <c r="L752">
        <v>1</v>
      </c>
    </row>
    <row r="753" spans="1:12" x14ac:dyDescent="0.35">
      <c r="A753">
        <v>752</v>
      </c>
      <c r="B753" t="s">
        <v>22</v>
      </c>
      <c r="C753" t="s">
        <v>21</v>
      </c>
      <c r="D753" t="s">
        <v>10</v>
      </c>
      <c r="E753" t="str">
        <f>IF(logistics_classification_dataset__1[[#This Row],[Shipment_Type]]="Kara","Road",IF(logistics_classification_dataset__1[[#This Row],[Shipment_Type]]="Hava","Air",IF(logistics_classification_dataset__1[[#This Row],[Shipment_Type]]="Deniz","Sea")))</f>
        <v>Road</v>
      </c>
      <c r="F753">
        <v>869.16</v>
      </c>
      <c r="G753" t="str">
        <f t="shared" si="22"/>
        <v>501–1000</v>
      </c>
      <c r="H753" s="1">
        <v>1516.7</v>
      </c>
      <c r="I753" t="str">
        <f t="shared" si="23"/>
        <v>1501–2000</v>
      </c>
      <c r="J753" t="s">
        <v>14</v>
      </c>
      <c r="K753" t="str">
        <f>IF(logistics_classification_dataset__1[[#This Row],[Customer_Segment]]="Bireysel","Individual",IF(logistics_classification_dataset__1[[#This Row],[Customer_Segment]]="Kurumsal","Corporate"))</f>
        <v>Corporate</v>
      </c>
      <c r="L753">
        <v>0</v>
      </c>
    </row>
    <row r="754" spans="1:12" x14ac:dyDescent="0.35">
      <c r="A754">
        <v>753</v>
      </c>
      <c r="B754" t="s">
        <v>17</v>
      </c>
      <c r="C754" t="s">
        <v>22</v>
      </c>
      <c r="D754" t="s">
        <v>10</v>
      </c>
      <c r="E754" t="str">
        <f>IF(logistics_classification_dataset__1[[#This Row],[Shipment_Type]]="Kara","Road",IF(logistics_classification_dataset__1[[#This Row],[Shipment_Type]]="Hava","Air",IF(logistics_classification_dataset__1[[#This Row],[Shipment_Type]]="Deniz","Sea")))</f>
        <v>Road</v>
      </c>
      <c r="F754">
        <v>1549.73</v>
      </c>
      <c r="G754" t="str">
        <f t="shared" si="22"/>
        <v>1501–2000</v>
      </c>
      <c r="H754" s="1">
        <v>1815.8</v>
      </c>
      <c r="I754" t="str">
        <f t="shared" si="23"/>
        <v>1501–2000</v>
      </c>
      <c r="J754" t="s">
        <v>11</v>
      </c>
      <c r="K754" t="str">
        <f>IF(logistics_classification_dataset__1[[#This Row],[Customer_Segment]]="Bireysel","Individual",IF(logistics_classification_dataset__1[[#This Row],[Customer_Segment]]="Kurumsal","Corporate"))</f>
        <v>Individual</v>
      </c>
      <c r="L754">
        <v>1</v>
      </c>
    </row>
    <row r="755" spans="1:12" x14ac:dyDescent="0.35">
      <c r="A755">
        <v>754</v>
      </c>
      <c r="B755" t="s">
        <v>21</v>
      </c>
      <c r="C755" t="s">
        <v>17</v>
      </c>
      <c r="D755" t="s">
        <v>19</v>
      </c>
      <c r="E755" t="str">
        <f>IF(logistics_classification_dataset__1[[#This Row],[Shipment_Type]]="Kara","Road",IF(logistics_classification_dataset__1[[#This Row],[Shipment_Type]]="Hava","Air",IF(logistics_classification_dataset__1[[#This Row],[Shipment_Type]]="Deniz","Sea")))</f>
        <v>Sea</v>
      </c>
      <c r="F755">
        <v>1705.91</v>
      </c>
      <c r="G755" t="str">
        <f t="shared" si="22"/>
        <v>1501–2000</v>
      </c>
      <c r="H755" s="1">
        <v>1679</v>
      </c>
      <c r="I755" t="str">
        <f t="shared" si="23"/>
        <v>1501–2000</v>
      </c>
      <c r="J755" t="s">
        <v>14</v>
      </c>
      <c r="K755" t="str">
        <f>IF(logistics_classification_dataset__1[[#This Row],[Customer_Segment]]="Bireysel","Individual",IF(logistics_classification_dataset__1[[#This Row],[Customer_Segment]]="Kurumsal","Corporate"))</f>
        <v>Corporate</v>
      </c>
      <c r="L755">
        <v>1</v>
      </c>
    </row>
    <row r="756" spans="1:12" x14ac:dyDescent="0.35">
      <c r="A756">
        <v>755</v>
      </c>
      <c r="B756" t="s">
        <v>16</v>
      </c>
      <c r="C756" t="s">
        <v>20</v>
      </c>
      <c r="D756" t="s">
        <v>10</v>
      </c>
      <c r="E756" t="str">
        <f>IF(logistics_classification_dataset__1[[#This Row],[Shipment_Type]]="Kara","Road",IF(logistics_classification_dataset__1[[#This Row],[Shipment_Type]]="Hava","Air",IF(logistics_classification_dataset__1[[#This Row],[Shipment_Type]]="Deniz","Sea")))</f>
        <v>Road</v>
      </c>
      <c r="F756">
        <v>1085.58</v>
      </c>
      <c r="G756" t="str">
        <f t="shared" si="22"/>
        <v>1001–1500</v>
      </c>
      <c r="H756" s="1">
        <v>433.9</v>
      </c>
      <c r="I756" t="str">
        <f t="shared" si="23"/>
        <v>0–500</v>
      </c>
      <c r="J756" t="s">
        <v>11</v>
      </c>
      <c r="K756" t="str">
        <f>IF(logistics_classification_dataset__1[[#This Row],[Customer_Segment]]="Bireysel","Individual",IF(logistics_classification_dataset__1[[#This Row],[Customer_Segment]]="Kurumsal","Corporate"))</f>
        <v>Individual</v>
      </c>
      <c r="L756">
        <v>1</v>
      </c>
    </row>
    <row r="757" spans="1:12" x14ac:dyDescent="0.35">
      <c r="A757">
        <v>756</v>
      </c>
      <c r="B757" t="s">
        <v>21</v>
      </c>
      <c r="C757" t="s">
        <v>9</v>
      </c>
      <c r="D757" t="s">
        <v>10</v>
      </c>
      <c r="E757" t="str">
        <f>IF(logistics_classification_dataset__1[[#This Row],[Shipment_Type]]="Kara","Road",IF(logistics_classification_dataset__1[[#This Row],[Shipment_Type]]="Hava","Air",IF(logistics_classification_dataset__1[[#This Row],[Shipment_Type]]="Deniz","Sea")))</f>
        <v>Road</v>
      </c>
      <c r="F757">
        <v>1517.74</v>
      </c>
      <c r="G757" t="str">
        <f t="shared" si="22"/>
        <v>1501–2000</v>
      </c>
      <c r="H757" s="1">
        <v>910.2</v>
      </c>
      <c r="I757" t="str">
        <f t="shared" si="23"/>
        <v>501–1000</v>
      </c>
      <c r="J757" t="s">
        <v>11</v>
      </c>
      <c r="K757" t="str">
        <f>IF(logistics_classification_dataset__1[[#This Row],[Customer_Segment]]="Bireysel","Individual",IF(logistics_classification_dataset__1[[#This Row],[Customer_Segment]]="Kurumsal","Corporate"))</f>
        <v>Individual</v>
      </c>
      <c r="L757">
        <v>1</v>
      </c>
    </row>
    <row r="758" spans="1:12" x14ac:dyDescent="0.35">
      <c r="A758">
        <v>757</v>
      </c>
      <c r="B758" t="s">
        <v>9</v>
      </c>
      <c r="C758" t="s">
        <v>16</v>
      </c>
      <c r="D758" t="s">
        <v>15</v>
      </c>
      <c r="E758" t="str">
        <f>IF(logistics_classification_dataset__1[[#This Row],[Shipment_Type]]="Kara","Road",IF(logistics_classification_dataset__1[[#This Row],[Shipment_Type]]="Hava","Air",IF(logistics_classification_dataset__1[[#This Row],[Shipment_Type]]="Deniz","Sea")))</f>
        <v>Air</v>
      </c>
      <c r="F758">
        <v>617.27</v>
      </c>
      <c r="G758" t="str">
        <f t="shared" si="22"/>
        <v>501–1000</v>
      </c>
      <c r="H758" s="1">
        <v>438.9</v>
      </c>
      <c r="I758" t="str">
        <f t="shared" si="23"/>
        <v>0–500</v>
      </c>
      <c r="J758" t="s">
        <v>11</v>
      </c>
      <c r="K758" t="str">
        <f>IF(logistics_classification_dataset__1[[#This Row],[Customer_Segment]]="Bireysel","Individual",IF(logistics_classification_dataset__1[[#This Row],[Customer_Segment]]="Kurumsal","Corporate"))</f>
        <v>Individual</v>
      </c>
      <c r="L758">
        <v>1</v>
      </c>
    </row>
    <row r="759" spans="1:12" x14ac:dyDescent="0.35">
      <c r="A759">
        <v>758</v>
      </c>
      <c r="B759" t="s">
        <v>16</v>
      </c>
      <c r="C759" t="s">
        <v>12</v>
      </c>
      <c r="D759" t="s">
        <v>10</v>
      </c>
      <c r="E759" t="str">
        <f>IF(logistics_classification_dataset__1[[#This Row],[Shipment_Type]]="Kara","Road",IF(logistics_classification_dataset__1[[#This Row],[Shipment_Type]]="Hava","Air",IF(logistics_classification_dataset__1[[#This Row],[Shipment_Type]]="Deniz","Sea")))</f>
        <v>Road</v>
      </c>
      <c r="F759">
        <v>832.87</v>
      </c>
      <c r="G759" t="str">
        <f t="shared" si="22"/>
        <v>501–1000</v>
      </c>
      <c r="H759" s="1">
        <v>565.70000000000005</v>
      </c>
      <c r="I759" t="str">
        <f t="shared" si="23"/>
        <v>501–1000</v>
      </c>
      <c r="J759" t="s">
        <v>14</v>
      </c>
      <c r="K759" t="str">
        <f>IF(logistics_classification_dataset__1[[#This Row],[Customer_Segment]]="Bireysel","Individual",IF(logistics_classification_dataset__1[[#This Row],[Customer_Segment]]="Kurumsal","Corporate"))</f>
        <v>Corporate</v>
      </c>
      <c r="L759">
        <v>1</v>
      </c>
    </row>
    <row r="760" spans="1:12" x14ac:dyDescent="0.35">
      <c r="A760">
        <v>759</v>
      </c>
      <c r="B760" t="s">
        <v>20</v>
      </c>
      <c r="C760" t="s">
        <v>13</v>
      </c>
      <c r="D760" t="s">
        <v>15</v>
      </c>
      <c r="E760" t="str">
        <f>IF(logistics_classification_dataset__1[[#This Row],[Shipment_Type]]="Kara","Road",IF(logistics_classification_dataset__1[[#This Row],[Shipment_Type]]="Hava","Air",IF(logistics_classification_dataset__1[[#This Row],[Shipment_Type]]="Deniz","Sea")))</f>
        <v>Air</v>
      </c>
      <c r="F760">
        <v>1426.99</v>
      </c>
      <c r="G760" t="str">
        <f t="shared" si="22"/>
        <v>1001–1500</v>
      </c>
      <c r="H760" s="1">
        <v>1031.9000000000001</v>
      </c>
      <c r="I760" t="str">
        <f t="shared" si="23"/>
        <v>1001–1500</v>
      </c>
      <c r="J760" t="s">
        <v>14</v>
      </c>
      <c r="K760" t="str">
        <f>IF(logistics_classification_dataset__1[[#This Row],[Customer_Segment]]="Bireysel","Individual",IF(logistics_classification_dataset__1[[#This Row],[Customer_Segment]]="Kurumsal","Corporate"))</f>
        <v>Corporate</v>
      </c>
      <c r="L760">
        <v>0</v>
      </c>
    </row>
    <row r="761" spans="1:12" x14ac:dyDescent="0.35">
      <c r="A761">
        <v>760</v>
      </c>
      <c r="B761" t="s">
        <v>17</v>
      </c>
      <c r="C761" t="s">
        <v>9</v>
      </c>
      <c r="D761" t="s">
        <v>15</v>
      </c>
      <c r="E761" t="str">
        <f>IF(logistics_classification_dataset__1[[#This Row],[Shipment_Type]]="Kara","Road",IF(logistics_classification_dataset__1[[#This Row],[Shipment_Type]]="Hava","Air",IF(logistics_classification_dataset__1[[#This Row],[Shipment_Type]]="Deniz","Sea")))</f>
        <v>Air</v>
      </c>
      <c r="F761">
        <v>775.49</v>
      </c>
      <c r="G761" t="str">
        <f t="shared" si="22"/>
        <v>501–1000</v>
      </c>
      <c r="H761" s="1">
        <v>182.8</v>
      </c>
      <c r="I761" t="str">
        <f t="shared" si="23"/>
        <v>0–500</v>
      </c>
      <c r="J761" t="s">
        <v>11</v>
      </c>
      <c r="K761" t="str">
        <f>IF(logistics_classification_dataset__1[[#This Row],[Customer_Segment]]="Bireysel","Individual",IF(logistics_classification_dataset__1[[#This Row],[Customer_Segment]]="Kurumsal","Corporate"))</f>
        <v>Individual</v>
      </c>
      <c r="L761">
        <v>1</v>
      </c>
    </row>
    <row r="762" spans="1:12" x14ac:dyDescent="0.35">
      <c r="A762">
        <v>761</v>
      </c>
      <c r="B762" t="s">
        <v>22</v>
      </c>
      <c r="C762" t="s">
        <v>20</v>
      </c>
      <c r="D762" t="s">
        <v>15</v>
      </c>
      <c r="E762" t="str">
        <f>IF(logistics_classification_dataset__1[[#This Row],[Shipment_Type]]="Kara","Road",IF(logistics_classification_dataset__1[[#This Row],[Shipment_Type]]="Hava","Air",IF(logistics_classification_dataset__1[[#This Row],[Shipment_Type]]="Deniz","Sea")))</f>
        <v>Air</v>
      </c>
      <c r="F762">
        <v>1179.07</v>
      </c>
      <c r="G762" t="str">
        <f t="shared" si="22"/>
        <v>1001–1500</v>
      </c>
      <c r="H762" s="1">
        <v>475.4</v>
      </c>
      <c r="I762" t="str">
        <f t="shared" si="23"/>
        <v>0–500</v>
      </c>
      <c r="J762" t="s">
        <v>11</v>
      </c>
      <c r="K762" t="str">
        <f>IF(logistics_classification_dataset__1[[#This Row],[Customer_Segment]]="Bireysel","Individual",IF(logistics_classification_dataset__1[[#This Row],[Customer_Segment]]="Kurumsal","Corporate"))</f>
        <v>Individual</v>
      </c>
      <c r="L762">
        <v>1</v>
      </c>
    </row>
    <row r="763" spans="1:12" x14ac:dyDescent="0.35">
      <c r="A763">
        <v>762</v>
      </c>
      <c r="B763" t="s">
        <v>9</v>
      </c>
      <c r="C763" t="s">
        <v>21</v>
      </c>
      <c r="D763" t="s">
        <v>10</v>
      </c>
      <c r="E763" t="str">
        <f>IF(logistics_classification_dataset__1[[#This Row],[Shipment_Type]]="Kara","Road",IF(logistics_classification_dataset__1[[#This Row],[Shipment_Type]]="Hava","Air",IF(logistics_classification_dataset__1[[#This Row],[Shipment_Type]]="Deniz","Sea")))</f>
        <v>Road</v>
      </c>
      <c r="F763">
        <v>374.82</v>
      </c>
      <c r="G763" t="str">
        <f t="shared" si="22"/>
        <v>0–500</v>
      </c>
      <c r="H763" s="1">
        <v>1874</v>
      </c>
      <c r="I763" t="str">
        <f t="shared" si="23"/>
        <v>1501–2000</v>
      </c>
      <c r="J763" t="s">
        <v>11</v>
      </c>
      <c r="K763" t="str">
        <f>IF(logistics_classification_dataset__1[[#This Row],[Customer_Segment]]="Bireysel","Individual",IF(logistics_classification_dataset__1[[#This Row],[Customer_Segment]]="Kurumsal","Corporate"))</f>
        <v>Individual</v>
      </c>
      <c r="L763">
        <v>1</v>
      </c>
    </row>
    <row r="764" spans="1:12" x14ac:dyDescent="0.35">
      <c r="A764">
        <v>763</v>
      </c>
      <c r="B764" t="s">
        <v>17</v>
      </c>
      <c r="C764" t="s">
        <v>12</v>
      </c>
      <c r="D764" t="s">
        <v>10</v>
      </c>
      <c r="E764" t="str">
        <f>IF(logistics_classification_dataset__1[[#This Row],[Shipment_Type]]="Kara","Road",IF(logistics_classification_dataset__1[[#This Row],[Shipment_Type]]="Hava","Air",IF(logistics_classification_dataset__1[[#This Row],[Shipment_Type]]="Deniz","Sea")))</f>
        <v>Road</v>
      </c>
      <c r="F764">
        <v>1201.54</v>
      </c>
      <c r="G764" t="str">
        <f t="shared" si="22"/>
        <v>1001–1500</v>
      </c>
      <c r="H764" s="1">
        <v>958.9</v>
      </c>
      <c r="I764" t="str">
        <f t="shared" si="23"/>
        <v>501–1000</v>
      </c>
      <c r="J764" t="s">
        <v>14</v>
      </c>
      <c r="K764" t="str">
        <f>IF(logistics_classification_dataset__1[[#This Row],[Customer_Segment]]="Bireysel","Individual",IF(logistics_classification_dataset__1[[#This Row],[Customer_Segment]]="Kurumsal","Corporate"))</f>
        <v>Corporate</v>
      </c>
      <c r="L764">
        <v>0</v>
      </c>
    </row>
    <row r="765" spans="1:12" x14ac:dyDescent="0.35">
      <c r="A765">
        <v>764</v>
      </c>
      <c r="B765" t="s">
        <v>20</v>
      </c>
      <c r="C765" t="s">
        <v>22</v>
      </c>
      <c r="D765" t="s">
        <v>10</v>
      </c>
      <c r="E765" t="str">
        <f>IF(logistics_classification_dataset__1[[#This Row],[Shipment_Type]]="Kara","Road",IF(logistics_classification_dataset__1[[#This Row],[Shipment_Type]]="Hava","Air",IF(logistics_classification_dataset__1[[#This Row],[Shipment_Type]]="Deniz","Sea")))</f>
        <v>Road</v>
      </c>
      <c r="F765">
        <v>1723.72</v>
      </c>
      <c r="G765" t="str">
        <f t="shared" si="22"/>
        <v>1501–2000</v>
      </c>
      <c r="H765" s="1">
        <v>918.5</v>
      </c>
      <c r="I765" t="str">
        <f t="shared" si="23"/>
        <v>501–1000</v>
      </c>
      <c r="J765" t="s">
        <v>11</v>
      </c>
      <c r="K765" t="str">
        <f>IF(logistics_classification_dataset__1[[#This Row],[Customer_Segment]]="Bireysel","Individual",IF(logistics_classification_dataset__1[[#This Row],[Customer_Segment]]="Kurumsal","Corporate"))</f>
        <v>Individual</v>
      </c>
      <c r="L765">
        <v>1</v>
      </c>
    </row>
    <row r="766" spans="1:12" x14ac:dyDescent="0.35">
      <c r="A766">
        <v>765</v>
      </c>
      <c r="B766" t="s">
        <v>17</v>
      </c>
      <c r="C766" t="s">
        <v>16</v>
      </c>
      <c r="D766" t="s">
        <v>10</v>
      </c>
      <c r="E766" t="str">
        <f>IF(logistics_classification_dataset__1[[#This Row],[Shipment_Type]]="Kara","Road",IF(logistics_classification_dataset__1[[#This Row],[Shipment_Type]]="Hava","Air",IF(logistics_classification_dataset__1[[#This Row],[Shipment_Type]]="Deniz","Sea")))</f>
        <v>Road</v>
      </c>
      <c r="F766">
        <v>1737.94</v>
      </c>
      <c r="G766" t="str">
        <f t="shared" si="22"/>
        <v>1501–2000</v>
      </c>
      <c r="H766" s="1">
        <v>78.400000000000006</v>
      </c>
      <c r="I766" t="str">
        <f t="shared" si="23"/>
        <v>0–500</v>
      </c>
      <c r="J766" t="s">
        <v>14</v>
      </c>
      <c r="K766" t="str">
        <f>IF(logistics_classification_dataset__1[[#This Row],[Customer_Segment]]="Bireysel","Individual",IF(logistics_classification_dataset__1[[#This Row],[Customer_Segment]]="Kurumsal","Corporate"))</f>
        <v>Corporate</v>
      </c>
      <c r="L766">
        <v>1</v>
      </c>
    </row>
    <row r="767" spans="1:12" x14ac:dyDescent="0.35">
      <c r="A767">
        <v>766</v>
      </c>
      <c r="B767" t="s">
        <v>20</v>
      </c>
      <c r="C767" t="s">
        <v>16</v>
      </c>
      <c r="D767" t="s">
        <v>10</v>
      </c>
      <c r="E767" t="str">
        <f>IF(logistics_classification_dataset__1[[#This Row],[Shipment_Type]]="Kara","Road",IF(logistics_classification_dataset__1[[#This Row],[Shipment_Type]]="Hava","Air",IF(logistics_classification_dataset__1[[#This Row],[Shipment_Type]]="Deniz","Sea")))</f>
        <v>Road</v>
      </c>
      <c r="F767">
        <v>1450.07</v>
      </c>
      <c r="G767" t="str">
        <f t="shared" si="22"/>
        <v>1001–1500</v>
      </c>
      <c r="H767" s="1">
        <v>532.4</v>
      </c>
      <c r="I767" t="str">
        <f t="shared" si="23"/>
        <v>501–1000</v>
      </c>
      <c r="J767" t="s">
        <v>14</v>
      </c>
      <c r="K767" t="str">
        <f>IF(logistics_classification_dataset__1[[#This Row],[Customer_Segment]]="Bireysel","Individual",IF(logistics_classification_dataset__1[[#This Row],[Customer_Segment]]="Kurumsal","Corporate"))</f>
        <v>Corporate</v>
      </c>
      <c r="L767">
        <v>1</v>
      </c>
    </row>
    <row r="768" spans="1:12" x14ac:dyDescent="0.35">
      <c r="A768">
        <v>767</v>
      </c>
      <c r="B768" t="s">
        <v>20</v>
      </c>
      <c r="C768" t="s">
        <v>16</v>
      </c>
      <c r="D768" t="s">
        <v>10</v>
      </c>
      <c r="E768" t="str">
        <f>IF(logistics_classification_dataset__1[[#This Row],[Shipment_Type]]="Kara","Road",IF(logistics_classification_dataset__1[[#This Row],[Shipment_Type]]="Hava","Air",IF(logistics_classification_dataset__1[[#This Row],[Shipment_Type]]="Deniz","Sea")))</f>
        <v>Road</v>
      </c>
      <c r="F768">
        <v>1492.78</v>
      </c>
      <c r="G768" t="str">
        <f t="shared" si="22"/>
        <v>1001–1500</v>
      </c>
      <c r="H768" s="1">
        <v>1739.3</v>
      </c>
      <c r="I768" t="str">
        <f t="shared" si="23"/>
        <v>1501–2000</v>
      </c>
      <c r="J768" t="s">
        <v>11</v>
      </c>
      <c r="K768" t="str">
        <f>IF(logistics_classification_dataset__1[[#This Row],[Customer_Segment]]="Bireysel","Individual",IF(logistics_classification_dataset__1[[#This Row],[Customer_Segment]]="Kurumsal","Corporate"))</f>
        <v>Individual</v>
      </c>
      <c r="L768">
        <v>1</v>
      </c>
    </row>
    <row r="769" spans="1:12" x14ac:dyDescent="0.35">
      <c r="A769">
        <v>768</v>
      </c>
      <c r="B769" t="s">
        <v>21</v>
      </c>
      <c r="C769" t="s">
        <v>9</v>
      </c>
      <c r="D769" t="s">
        <v>15</v>
      </c>
      <c r="E769" t="str">
        <f>IF(logistics_classification_dataset__1[[#This Row],[Shipment_Type]]="Kara","Road",IF(logistics_classification_dataset__1[[#This Row],[Shipment_Type]]="Hava","Air",IF(logistics_classification_dataset__1[[#This Row],[Shipment_Type]]="Deniz","Sea")))</f>
        <v>Air</v>
      </c>
      <c r="F769">
        <v>1118.07</v>
      </c>
      <c r="G769" t="str">
        <f t="shared" si="22"/>
        <v>1001–1500</v>
      </c>
      <c r="H769" s="1">
        <v>371</v>
      </c>
      <c r="I769" t="str">
        <f t="shared" si="23"/>
        <v>0–500</v>
      </c>
      <c r="J769" t="s">
        <v>14</v>
      </c>
      <c r="K769" t="str">
        <f>IF(logistics_classification_dataset__1[[#This Row],[Customer_Segment]]="Bireysel","Individual",IF(logistics_classification_dataset__1[[#This Row],[Customer_Segment]]="Kurumsal","Corporate"))</f>
        <v>Corporate</v>
      </c>
      <c r="L769">
        <v>1</v>
      </c>
    </row>
    <row r="770" spans="1:12" x14ac:dyDescent="0.35">
      <c r="A770">
        <v>769</v>
      </c>
      <c r="B770" t="s">
        <v>13</v>
      </c>
      <c r="C770" t="s">
        <v>9</v>
      </c>
      <c r="D770" t="s">
        <v>15</v>
      </c>
      <c r="E770" t="str">
        <f>IF(logistics_classification_dataset__1[[#This Row],[Shipment_Type]]="Kara","Road",IF(logistics_classification_dataset__1[[#This Row],[Shipment_Type]]="Hava","Air",IF(logistics_classification_dataset__1[[#This Row],[Shipment_Type]]="Deniz","Sea")))</f>
        <v>Air</v>
      </c>
      <c r="F770">
        <v>1171.4100000000001</v>
      </c>
      <c r="G770" t="str">
        <f t="shared" ref="G770:G833" si="24">IF(F770&lt;=500,"0–500",IF(F770&lt;=1000,"501–1000",IF(F770&lt;=1500,"1001–1500","1501–2000")))</f>
        <v>1001–1500</v>
      </c>
      <c r="H770" s="1">
        <v>859.5</v>
      </c>
      <c r="I770" t="str">
        <f t="shared" ref="I770:I833" si="25">IF(H770&lt;=500,"0–500",IF(H770&lt;=1000,"501–1000",IF(H770&lt;=1500,"1001–1500",IF(H770&lt;=2000,"1501–2000","&gt;2000"))))</f>
        <v>501–1000</v>
      </c>
      <c r="J770" t="s">
        <v>11</v>
      </c>
      <c r="K770" t="str">
        <f>IF(logistics_classification_dataset__1[[#This Row],[Customer_Segment]]="Bireysel","Individual",IF(logistics_classification_dataset__1[[#This Row],[Customer_Segment]]="Kurumsal","Corporate"))</f>
        <v>Individual</v>
      </c>
      <c r="L770">
        <v>1</v>
      </c>
    </row>
    <row r="771" spans="1:12" x14ac:dyDescent="0.35">
      <c r="A771">
        <v>770</v>
      </c>
      <c r="B771" t="s">
        <v>9</v>
      </c>
      <c r="C771" t="s">
        <v>13</v>
      </c>
      <c r="D771" t="s">
        <v>10</v>
      </c>
      <c r="E771" t="str">
        <f>IF(logistics_classification_dataset__1[[#This Row],[Shipment_Type]]="Kara","Road",IF(logistics_classification_dataset__1[[#This Row],[Shipment_Type]]="Hava","Air",IF(logistics_classification_dataset__1[[#This Row],[Shipment_Type]]="Deniz","Sea")))</f>
        <v>Road</v>
      </c>
      <c r="F771">
        <v>271.63</v>
      </c>
      <c r="G771" t="str">
        <f t="shared" si="24"/>
        <v>0–500</v>
      </c>
      <c r="H771" s="1">
        <v>77.900000000000006</v>
      </c>
      <c r="I771" t="str">
        <f t="shared" si="25"/>
        <v>0–500</v>
      </c>
      <c r="J771" t="s">
        <v>11</v>
      </c>
      <c r="K771" t="str">
        <f>IF(logistics_classification_dataset__1[[#This Row],[Customer_Segment]]="Bireysel","Individual",IF(logistics_classification_dataset__1[[#This Row],[Customer_Segment]]="Kurumsal","Corporate"))</f>
        <v>Individual</v>
      </c>
      <c r="L771">
        <v>0</v>
      </c>
    </row>
    <row r="772" spans="1:12" x14ac:dyDescent="0.35">
      <c r="A772">
        <v>771</v>
      </c>
      <c r="B772" t="s">
        <v>17</v>
      </c>
      <c r="C772" t="s">
        <v>13</v>
      </c>
      <c r="D772" t="s">
        <v>15</v>
      </c>
      <c r="E772" t="str">
        <f>IF(logistics_classification_dataset__1[[#This Row],[Shipment_Type]]="Kara","Road",IF(logistics_classification_dataset__1[[#This Row],[Shipment_Type]]="Hava","Air",IF(logistics_classification_dataset__1[[#This Row],[Shipment_Type]]="Deniz","Sea")))</f>
        <v>Air</v>
      </c>
      <c r="F772">
        <v>89.05</v>
      </c>
      <c r="G772" t="str">
        <f t="shared" si="24"/>
        <v>0–500</v>
      </c>
      <c r="H772" s="1">
        <v>982.8</v>
      </c>
      <c r="I772" t="str">
        <f t="shared" si="25"/>
        <v>501–1000</v>
      </c>
      <c r="J772" t="s">
        <v>11</v>
      </c>
      <c r="K772" t="str">
        <f>IF(logistics_classification_dataset__1[[#This Row],[Customer_Segment]]="Bireysel","Individual",IF(logistics_classification_dataset__1[[#This Row],[Customer_Segment]]="Kurumsal","Corporate"))</f>
        <v>Individual</v>
      </c>
      <c r="L772">
        <v>0</v>
      </c>
    </row>
    <row r="773" spans="1:12" x14ac:dyDescent="0.35">
      <c r="A773">
        <v>772</v>
      </c>
      <c r="B773" t="s">
        <v>12</v>
      </c>
      <c r="C773" t="s">
        <v>21</v>
      </c>
      <c r="D773" t="s">
        <v>19</v>
      </c>
      <c r="E773" t="str">
        <f>IF(logistics_classification_dataset__1[[#This Row],[Shipment_Type]]="Kara","Road",IF(logistics_classification_dataset__1[[#This Row],[Shipment_Type]]="Hava","Air",IF(logistics_classification_dataset__1[[#This Row],[Shipment_Type]]="Deniz","Sea")))</f>
        <v>Sea</v>
      </c>
      <c r="F773">
        <v>90.43</v>
      </c>
      <c r="G773" t="str">
        <f t="shared" si="24"/>
        <v>0–500</v>
      </c>
      <c r="H773" s="1">
        <v>91</v>
      </c>
      <c r="I773" t="str">
        <f t="shared" si="25"/>
        <v>0–500</v>
      </c>
      <c r="J773" t="s">
        <v>11</v>
      </c>
      <c r="K773" t="str">
        <f>IF(logistics_classification_dataset__1[[#This Row],[Customer_Segment]]="Bireysel","Individual",IF(logistics_classification_dataset__1[[#This Row],[Customer_Segment]]="Kurumsal","Corporate"))</f>
        <v>Individual</v>
      </c>
      <c r="L773">
        <v>1</v>
      </c>
    </row>
    <row r="774" spans="1:12" x14ac:dyDescent="0.35">
      <c r="A774">
        <v>773</v>
      </c>
      <c r="B774" t="s">
        <v>9</v>
      </c>
      <c r="C774" t="s">
        <v>12</v>
      </c>
      <c r="D774" t="s">
        <v>15</v>
      </c>
      <c r="E774" t="str">
        <f>IF(logistics_classification_dataset__1[[#This Row],[Shipment_Type]]="Kara","Road",IF(logistics_classification_dataset__1[[#This Row],[Shipment_Type]]="Hava","Air",IF(logistics_classification_dataset__1[[#This Row],[Shipment_Type]]="Deniz","Sea")))</f>
        <v>Air</v>
      </c>
      <c r="F774">
        <v>191.72</v>
      </c>
      <c r="G774" t="str">
        <f t="shared" si="24"/>
        <v>0–500</v>
      </c>
      <c r="H774" s="1">
        <v>1648.2</v>
      </c>
      <c r="I774" t="str">
        <f t="shared" si="25"/>
        <v>1501–2000</v>
      </c>
      <c r="J774" t="s">
        <v>14</v>
      </c>
      <c r="K774" t="str">
        <f>IF(logistics_classification_dataset__1[[#This Row],[Customer_Segment]]="Bireysel","Individual",IF(logistics_classification_dataset__1[[#This Row],[Customer_Segment]]="Kurumsal","Corporate"))</f>
        <v>Corporate</v>
      </c>
      <c r="L774">
        <v>1</v>
      </c>
    </row>
    <row r="775" spans="1:12" x14ac:dyDescent="0.35">
      <c r="A775">
        <v>774</v>
      </c>
      <c r="B775" t="s">
        <v>13</v>
      </c>
      <c r="C775" t="s">
        <v>22</v>
      </c>
      <c r="D775" t="s">
        <v>15</v>
      </c>
      <c r="E775" t="str">
        <f>IF(logistics_classification_dataset__1[[#This Row],[Shipment_Type]]="Kara","Road",IF(logistics_classification_dataset__1[[#This Row],[Shipment_Type]]="Hava","Air",IF(logistics_classification_dataset__1[[#This Row],[Shipment_Type]]="Deniz","Sea")))</f>
        <v>Air</v>
      </c>
      <c r="F775">
        <v>865.02</v>
      </c>
      <c r="G775" t="str">
        <f t="shared" si="24"/>
        <v>501–1000</v>
      </c>
      <c r="H775" s="1">
        <v>1658.5</v>
      </c>
      <c r="I775" t="str">
        <f t="shared" si="25"/>
        <v>1501–2000</v>
      </c>
      <c r="J775" t="s">
        <v>11</v>
      </c>
      <c r="K775" t="str">
        <f>IF(logistics_classification_dataset__1[[#This Row],[Customer_Segment]]="Bireysel","Individual",IF(logistics_classification_dataset__1[[#This Row],[Customer_Segment]]="Kurumsal","Corporate"))</f>
        <v>Individual</v>
      </c>
      <c r="L775">
        <v>1</v>
      </c>
    </row>
    <row r="776" spans="1:12" x14ac:dyDescent="0.35">
      <c r="A776">
        <v>775</v>
      </c>
      <c r="B776" t="s">
        <v>9</v>
      </c>
      <c r="C776" t="s">
        <v>22</v>
      </c>
      <c r="D776" t="s">
        <v>10</v>
      </c>
      <c r="E776" t="str">
        <f>IF(logistics_classification_dataset__1[[#This Row],[Shipment_Type]]="Kara","Road",IF(logistics_classification_dataset__1[[#This Row],[Shipment_Type]]="Hava","Air",IF(logistics_classification_dataset__1[[#This Row],[Shipment_Type]]="Deniz","Sea")))</f>
        <v>Road</v>
      </c>
      <c r="F776">
        <v>1100.94</v>
      </c>
      <c r="G776" t="str">
        <f t="shared" si="24"/>
        <v>1001–1500</v>
      </c>
      <c r="H776" s="1">
        <v>1586.1</v>
      </c>
      <c r="I776" t="str">
        <f t="shared" si="25"/>
        <v>1501–2000</v>
      </c>
      <c r="J776" t="s">
        <v>11</v>
      </c>
      <c r="K776" t="str">
        <f>IF(logistics_classification_dataset__1[[#This Row],[Customer_Segment]]="Bireysel","Individual",IF(logistics_classification_dataset__1[[#This Row],[Customer_Segment]]="Kurumsal","Corporate"))</f>
        <v>Individual</v>
      </c>
      <c r="L776">
        <v>0</v>
      </c>
    </row>
    <row r="777" spans="1:12" x14ac:dyDescent="0.35">
      <c r="A777">
        <v>776</v>
      </c>
      <c r="B777" t="s">
        <v>18</v>
      </c>
      <c r="C777" t="s">
        <v>20</v>
      </c>
      <c r="D777" t="s">
        <v>10</v>
      </c>
      <c r="E777" t="str">
        <f>IF(logistics_classification_dataset__1[[#This Row],[Shipment_Type]]="Kara","Road",IF(logistics_classification_dataset__1[[#This Row],[Shipment_Type]]="Hava","Air",IF(logistics_classification_dataset__1[[#This Row],[Shipment_Type]]="Deniz","Sea")))</f>
        <v>Road</v>
      </c>
      <c r="F777">
        <v>1068.8399999999999</v>
      </c>
      <c r="G777" t="str">
        <f t="shared" si="24"/>
        <v>1001–1500</v>
      </c>
      <c r="H777" s="1">
        <v>602.6</v>
      </c>
      <c r="I777" t="str">
        <f t="shared" si="25"/>
        <v>501–1000</v>
      </c>
      <c r="J777" t="s">
        <v>11</v>
      </c>
      <c r="K777" t="str">
        <f>IF(logistics_classification_dataset__1[[#This Row],[Customer_Segment]]="Bireysel","Individual",IF(logistics_classification_dataset__1[[#This Row],[Customer_Segment]]="Kurumsal","Corporate"))</f>
        <v>Individual</v>
      </c>
      <c r="L777">
        <v>1</v>
      </c>
    </row>
    <row r="778" spans="1:12" x14ac:dyDescent="0.35">
      <c r="A778">
        <v>777</v>
      </c>
      <c r="B778" t="s">
        <v>12</v>
      </c>
      <c r="C778" t="s">
        <v>16</v>
      </c>
      <c r="D778" t="s">
        <v>10</v>
      </c>
      <c r="E778" t="str">
        <f>IF(logistics_classification_dataset__1[[#This Row],[Shipment_Type]]="Kara","Road",IF(logistics_classification_dataset__1[[#This Row],[Shipment_Type]]="Hava","Air",IF(logistics_classification_dataset__1[[#This Row],[Shipment_Type]]="Deniz","Sea")))</f>
        <v>Road</v>
      </c>
      <c r="F778">
        <v>1275.3399999999999</v>
      </c>
      <c r="G778" t="str">
        <f t="shared" si="24"/>
        <v>1001–1500</v>
      </c>
      <c r="H778" s="1">
        <v>1682.6</v>
      </c>
      <c r="I778" t="str">
        <f t="shared" si="25"/>
        <v>1501–2000</v>
      </c>
      <c r="J778" t="s">
        <v>11</v>
      </c>
      <c r="K778" t="str">
        <f>IF(logistics_classification_dataset__1[[#This Row],[Customer_Segment]]="Bireysel","Individual",IF(logistics_classification_dataset__1[[#This Row],[Customer_Segment]]="Kurumsal","Corporate"))</f>
        <v>Individual</v>
      </c>
      <c r="L778">
        <v>1</v>
      </c>
    </row>
    <row r="779" spans="1:12" x14ac:dyDescent="0.35">
      <c r="A779">
        <v>778</v>
      </c>
      <c r="B779" t="s">
        <v>13</v>
      </c>
      <c r="C779" t="s">
        <v>12</v>
      </c>
      <c r="D779" t="s">
        <v>10</v>
      </c>
      <c r="E779" t="str">
        <f>IF(logistics_classification_dataset__1[[#This Row],[Shipment_Type]]="Kara","Road",IF(logistics_classification_dataset__1[[#This Row],[Shipment_Type]]="Hava","Air",IF(logistics_classification_dataset__1[[#This Row],[Shipment_Type]]="Deniz","Sea")))</f>
        <v>Road</v>
      </c>
      <c r="F779">
        <v>1497.72</v>
      </c>
      <c r="G779" t="str">
        <f t="shared" si="24"/>
        <v>1001–1500</v>
      </c>
      <c r="H779" s="1">
        <v>1108.8</v>
      </c>
      <c r="I779" t="str">
        <f t="shared" si="25"/>
        <v>1001–1500</v>
      </c>
      <c r="J779" t="s">
        <v>11</v>
      </c>
      <c r="K779" t="str">
        <f>IF(logistics_classification_dataset__1[[#This Row],[Customer_Segment]]="Bireysel","Individual",IF(logistics_classification_dataset__1[[#This Row],[Customer_Segment]]="Kurumsal","Corporate"))</f>
        <v>Individual</v>
      </c>
      <c r="L779">
        <v>1</v>
      </c>
    </row>
    <row r="780" spans="1:12" x14ac:dyDescent="0.35">
      <c r="A780">
        <v>779</v>
      </c>
      <c r="B780" t="s">
        <v>21</v>
      </c>
      <c r="C780" t="s">
        <v>17</v>
      </c>
      <c r="D780" t="s">
        <v>19</v>
      </c>
      <c r="E780" t="str">
        <f>IF(logistics_classification_dataset__1[[#This Row],[Shipment_Type]]="Kara","Road",IF(logistics_classification_dataset__1[[#This Row],[Shipment_Type]]="Hava","Air",IF(logistics_classification_dataset__1[[#This Row],[Shipment_Type]]="Deniz","Sea")))</f>
        <v>Sea</v>
      </c>
      <c r="F780">
        <v>453.96</v>
      </c>
      <c r="G780" t="str">
        <f t="shared" si="24"/>
        <v>0–500</v>
      </c>
      <c r="H780" s="1">
        <v>778.9</v>
      </c>
      <c r="I780" t="str">
        <f t="shared" si="25"/>
        <v>501–1000</v>
      </c>
      <c r="J780" t="s">
        <v>11</v>
      </c>
      <c r="K780" t="str">
        <f>IF(logistics_classification_dataset__1[[#This Row],[Customer_Segment]]="Bireysel","Individual",IF(logistics_classification_dataset__1[[#This Row],[Customer_Segment]]="Kurumsal","Corporate"))</f>
        <v>Individual</v>
      </c>
      <c r="L780">
        <v>1</v>
      </c>
    </row>
    <row r="781" spans="1:12" x14ac:dyDescent="0.35">
      <c r="A781">
        <v>780</v>
      </c>
      <c r="B781" t="s">
        <v>17</v>
      </c>
      <c r="C781" t="s">
        <v>9</v>
      </c>
      <c r="D781" t="s">
        <v>15</v>
      </c>
      <c r="E781" t="str">
        <f>IF(logistics_classification_dataset__1[[#This Row],[Shipment_Type]]="Kara","Road",IF(logistics_classification_dataset__1[[#This Row],[Shipment_Type]]="Hava","Air",IF(logistics_classification_dataset__1[[#This Row],[Shipment_Type]]="Deniz","Sea")))</f>
        <v>Air</v>
      </c>
      <c r="F781">
        <v>1059.81</v>
      </c>
      <c r="G781" t="str">
        <f t="shared" si="24"/>
        <v>1001–1500</v>
      </c>
      <c r="H781" s="1">
        <v>1269.4000000000001</v>
      </c>
      <c r="I781" t="str">
        <f t="shared" si="25"/>
        <v>1001–1500</v>
      </c>
      <c r="J781" t="s">
        <v>11</v>
      </c>
      <c r="K781" t="str">
        <f>IF(logistics_classification_dataset__1[[#This Row],[Customer_Segment]]="Bireysel","Individual",IF(logistics_classification_dataset__1[[#This Row],[Customer_Segment]]="Kurumsal","Corporate"))</f>
        <v>Individual</v>
      </c>
      <c r="L781">
        <v>1</v>
      </c>
    </row>
    <row r="782" spans="1:12" x14ac:dyDescent="0.35">
      <c r="A782">
        <v>781</v>
      </c>
      <c r="B782" t="s">
        <v>8</v>
      </c>
      <c r="C782" t="s">
        <v>9</v>
      </c>
      <c r="D782" t="s">
        <v>10</v>
      </c>
      <c r="E782" t="str">
        <f>IF(logistics_classification_dataset__1[[#This Row],[Shipment_Type]]="Kara","Road",IF(logistics_classification_dataset__1[[#This Row],[Shipment_Type]]="Hava","Air",IF(logistics_classification_dataset__1[[#This Row],[Shipment_Type]]="Deniz","Sea")))</f>
        <v>Road</v>
      </c>
      <c r="F782">
        <v>1652.71</v>
      </c>
      <c r="G782" t="str">
        <f t="shared" si="24"/>
        <v>1501–2000</v>
      </c>
      <c r="H782" s="1">
        <v>74.099999999999994</v>
      </c>
      <c r="I782" t="str">
        <f t="shared" si="25"/>
        <v>0–500</v>
      </c>
      <c r="J782" t="s">
        <v>14</v>
      </c>
      <c r="K782" t="str">
        <f>IF(logistics_classification_dataset__1[[#This Row],[Customer_Segment]]="Bireysel","Individual",IF(logistics_classification_dataset__1[[#This Row],[Customer_Segment]]="Kurumsal","Corporate"))</f>
        <v>Corporate</v>
      </c>
      <c r="L782">
        <v>1</v>
      </c>
    </row>
    <row r="783" spans="1:12" x14ac:dyDescent="0.35">
      <c r="A783">
        <v>782</v>
      </c>
      <c r="B783" t="s">
        <v>13</v>
      </c>
      <c r="C783" t="s">
        <v>18</v>
      </c>
      <c r="D783" t="s">
        <v>10</v>
      </c>
      <c r="E783" t="str">
        <f>IF(logistics_classification_dataset__1[[#This Row],[Shipment_Type]]="Kara","Road",IF(logistics_classification_dataset__1[[#This Row],[Shipment_Type]]="Hava","Air",IF(logistics_classification_dataset__1[[#This Row],[Shipment_Type]]="Deniz","Sea")))</f>
        <v>Road</v>
      </c>
      <c r="F783">
        <v>928.91</v>
      </c>
      <c r="G783" t="str">
        <f t="shared" si="24"/>
        <v>501–1000</v>
      </c>
      <c r="H783" s="1">
        <v>328.8</v>
      </c>
      <c r="I783" t="str">
        <f t="shared" si="25"/>
        <v>0–500</v>
      </c>
      <c r="J783" t="s">
        <v>14</v>
      </c>
      <c r="K783" t="str">
        <f>IF(logistics_classification_dataset__1[[#This Row],[Customer_Segment]]="Bireysel","Individual",IF(logistics_classification_dataset__1[[#This Row],[Customer_Segment]]="Kurumsal","Corporate"))</f>
        <v>Corporate</v>
      </c>
      <c r="L783">
        <v>1</v>
      </c>
    </row>
    <row r="784" spans="1:12" x14ac:dyDescent="0.35">
      <c r="A784">
        <v>783</v>
      </c>
      <c r="B784" t="s">
        <v>22</v>
      </c>
      <c r="C784" t="s">
        <v>21</v>
      </c>
      <c r="D784" t="s">
        <v>15</v>
      </c>
      <c r="E784" t="str">
        <f>IF(logistics_classification_dataset__1[[#This Row],[Shipment_Type]]="Kara","Road",IF(logistics_classification_dataset__1[[#This Row],[Shipment_Type]]="Hava","Air",IF(logistics_classification_dataset__1[[#This Row],[Shipment_Type]]="Deniz","Sea")))</f>
        <v>Air</v>
      </c>
      <c r="F784">
        <v>560.52</v>
      </c>
      <c r="G784" t="str">
        <f t="shared" si="24"/>
        <v>501–1000</v>
      </c>
      <c r="H784" s="1">
        <v>1497.5</v>
      </c>
      <c r="I784" t="str">
        <f t="shared" si="25"/>
        <v>1001–1500</v>
      </c>
      <c r="J784" t="s">
        <v>11</v>
      </c>
      <c r="K784" t="str">
        <f>IF(logistics_classification_dataset__1[[#This Row],[Customer_Segment]]="Bireysel","Individual",IF(logistics_classification_dataset__1[[#This Row],[Customer_Segment]]="Kurumsal","Corporate"))</f>
        <v>Individual</v>
      </c>
      <c r="L784">
        <v>0</v>
      </c>
    </row>
    <row r="785" spans="1:12" x14ac:dyDescent="0.35">
      <c r="A785">
        <v>784</v>
      </c>
      <c r="B785" t="s">
        <v>17</v>
      </c>
      <c r="C785" t="s">
        <v>16</v>
      </c>
      <c r="D785" t="s">
        <v>10</v>
      </c>
      <c r="E785" t="str">
        <f>IF(logistics_classification_dataset__1[[#This Row],[Shipment_Type]]="Kara","Road",IF(logistics_classification_dataset__1[[#This Row],[Shipment_Type]]="Hava","Air",IF(logistics_classification_dataset__1[[#This Row],[Shipment_Type]]="Deniz","Sea")))</f>
        <v>Road</v>
      </c>
      <c r="F785">
        <v>1311.14</v>
      </c>
      <c r="G785" t="str">
        <f t="shared" si="24"/>
        <v>1001–1500</v>
      </c>
      <c r="H785" s="1">
        <v>526.1</v>
      </c>
      <c r="I785" t="str">
        <f t="shared" si="25"/>
        <v>501–1000</v>
      </c>
      <c r="J785" t="s">
        <v>14</v>
      </c>
      <c r="K785" t="str">
        <f>IF(logistics_classification_dataset__1[[#This Row],[Customer_Segment]]="Bireysel","Individual",IF(logistics_classification_dataset__1[[#This Row],[Customer_Segment]]="Kurumsal","Corporate"))</f>
        <v>Corporate</v>
      </c>
      <c r="L785">
        <v>1</v>
      </c>
    </row>
    <row r="786" spans="1:12" x14ac:dyDescent="0.35">
      <c r="A786">
        <v>785</v>
      </c>
      <c r="B786" t="s">
        <v>13</v>
      </c>
      <c r="C786" t="s">
        <v>16</v>
      </c>
      <c r="D786" t="s">
        <v>10</v>
      </c>
      <c r="E786" t="str">
        <f>IF(logistics_classification_dataset__1[[#This Row],[Shipment_Type]]="Kara","Road",IF(logistics_classification_dataset__1[[#This Row],[Shipment_Type]]="Hava","Air",IF(logistics_classification_dataset__1[[#This Row],[Shipment_Type]]="Deniz","Sea")))</f>
        <v>Road</v>
      </c>
      <c r="F786">
        <v>1648.42</v>
      </c>
      <c r="G786" t="str">
        <f t="shared" si="24"/>
        <v>1501–2000</v>
      </c>
      <c r="H786" s="1">
        <v>1216.0999999999999</v>
      </c>
      <c r="I786" t="str">
        <f t="shared" si="25"/>
        <v>1001–1500</v>
      </c>
      <c r="J786" t="s">
        <v>11</v>
      </c>
      <c r="K786" t="str">
        <f>IF(logistics_classification_dataset__1[[#This Row],[Customer_Segment]]="Bireysel","Individual",IF(logistics_classification_dataset__1[[#This Row],[Customer_Segment]]="Kurumsal","Corporate"))</f>
        <v>Individual</v>
      </c>
      <c r="L786">
        <v>1</v>
      </c>
    </row>
    <row r="787" spans="1:12" x14ac:dyDescent="0.35">
      <c r="A787">
        <v>786</v>
      </c>
      <c r="B787" t="s">
        <v>18</v>
      </c>
      <c r="C787" t="s">
        <v>16</v>
      </c>
      <c r="D787" t="s">
        <v>15</v>
      </c>
      <c r="E787" t="str">
        <f>IF(logistics_classification_dataset__1[[#This Row],[Shipment_Type]]="Kara","Road",IF(logistics_classification_dataset__1[[#This Row],[Shipment_Type]]="Hava","Air",IF(logistics_classification_dataset__1[[#This Row],[Shipment_Type]]="Deniz","Sea")))</f>
        <v>Air</v>
      </c>
      <c r="F787">
        <v>130.96</v>
      </c>
      <c r="G787" t="str">
        <f t="shared" si="24"/>
        <v>0–500</v>
      </c>
      <c r="H787" s="1">
        <v>801</v>
      </c>
      <c r="I787" t="str">
        <f t="shared" si="25"/>
        <v>501–1000</v>
      </c>
      <c r="J787" t="s">
        <v>11</v>
      </c>
      <c r="K787" t="str">
        <f>IF(logistics_classification_dataset__1[[#This Row],[Customer_Segment]]="Bireysel","Individual",IF(logistics_classification_dataset__1[[#This Row],[Customer_Segment]]="Kurumsal","Corporate"))</f>
        <v>Individual</v>
      </c>
      <c r="L787">
        <v>1</v>
      </c>
    </row>
    <row r="788" spans="1:12" x14ac:dyDescent="0.35">
      <c r="A788">
        <v>787</v>
      </c>
      <c r="B788" t="s">
        <v>8</v>
      </c>
      <c r="C788" t="s">
        <v>9</v>
      </c>
      <c r="D788" t="s">
        <v>10</v>
      </c>
      <c r="E788" t="str">
        <f>IF(logistics_classification_dataset__1[[#This Row],[Shipment_Type]]="Kara","Road",IF(logistics_classification_dataset__1[[#This Row],[Shipment_Type]]="Hava","Air",IF(logistics_classification_dataset__1[[#This Row],[Shipment_Type]]="Deniz","Sea")))</f>
        <v>Road</v>
      </c>
      <c r="F788">
        <v>155.47</v>
      </c>
      <c r="G788" t="str">
        <f t="shared" si="24"/>
        <v>0–500</v>
      </c>
      <c r="H788" s="1">
        <v>1716.9</v>
      </c>
      <c r="I788" t="str">
        <f t="shared" si="25"/>
        <v>1501–2000</v>
      </c>
      <c r="J788" t="s">
        <v>11</v>
      </c>
      <c r="K788" t="str">
        <f>IF(logistics_classification_dataset__1[[#This Row],[Customer_Segment]]="Bireysel","Individual",IF(logistics_classification_dataset__1[[#This Row],[Customer_Segment]]="Kurumsal","Corporate"))</f>
        <v>Individual</v>
      </c>
      <c r="L788">
        <v>1</v>
      </c>
    </row>
    <row r="789" spans="1:12" x14ac:dyDescent="0.35">
      <c r="A789">
        <v>788</v>
      </c>
      <c r="B789" t="s">
        <v>18</v>
      </c>
      <c r="C789" t="s">
        <v>9</v>
      </c>
      <c r="D789" t="s">
        <v>10</v>
      </c>
      <c r="E789" t="str">
        <f>IF(logistics_classification_dataset__1[[#This Row],[Shipment_Type]]="Kara","Road",IF(logistics_classification_dataset__1[[#This Row],[Shipment_Type]]="Hava","Air",IF(logistics_classification_dataset__1[[#This Row],[Shipment_Type]]="Deniz","Sea")))</f>
        <v>Road</v>
      </c>
      <c r="F789">
        <v>1644.19</v>
      </c>
      <c r="G789" t="str">
        <f t="shared" si="24"/>
        <v>1501–2000</v>
      </c>
      <c r="H789" s="1">
        <v>1907.2</v>
      </c>
      <c r="I789" t="str">
        <f t="shared" si="25"/>
        <v>1501–2000</v>
      </c>
      <c r="J789" t="s">
        <v>11</v>
      </c>
      <c r="K789" t="str">
        <f>IF(logistics_classification_dataset__1[[#This Row],[Customer_Segment]]="Bireysel","Individual",IF(logistics_classification_dataset__1[[#This Row],[Customer_Segment]]="Kurumsal","Corporate"))</f>
        <v>Individual</v>
      </c>
      <c r="L789">
        <v>1</v>
      </c>
    </row>
    <row r="790" spans="1:12" x14ac:dyDescent="0.35">
      <c r="A790">
        <v>789</v>
      </c>
      <c r="B790" t="s">
        <v>8</v>
      </c>
      <c r="C790" t="s">
        <v>18</v>
      </c>
      <c r="D790" t="s">
        <v>10</v>
      </c>
      <c r="E790" t="str">
        <f>IF(logistics_classification_dataset__1[[#This Row],[Shipment_Type]]="Kara","Road",IF(logistics_classification_dataset__1[[#This Row],[Shipment_Type]]="Hava","Air",IF(logistics_classification_dataset__1[[#This Row],[Shipment_Type]]="Deniz","Sea")))</f>
        <v>Road</v>
      </c>
      <c r="F790">
        <v>925.74</v>
      </c>
      <c r="G790" t="str">
        <f t="shared" si="24"/>
        <v>501–1000</v>
      </c>
      <c r="H790" s="1">
        <v>1773</v>
      </c>
      <c r="I790" t="str">
        <f t="shared" si="25"/>
        <v>1501–2000</v>
      </c>
      <c r="J790" t="s">
        <v>11</v>
      </c>
      <c r="K790" t="str">
        <f>IF(logistics_classification_dataset__1[[#This Row],[Customer_Segment]]="Bireysel","Individual",IF(logistics_classification_dataset__1[[#This Row],[Customer_Segment]]="Kurumsal","Corporate"))</f>
        <v>Individual</v>
      </c>
      <c r="L790">
        <v>1</v>
      </c>
    </row>
    <row r="791" spans="1:12" x14ac:dyDescent="0.35">
      <c r="A791">
        <v>790</v>
      </c>
      <c r="B791" t="s">
        <v>22</v>
      </c>
      <c r="C791" t="s">
        <v>17</v>
      </c>
      <c r="D791" t="s">
        <v>15</v>
      </c>
      <c r="E791" t="str">
        <f>IF(logistics_classification_dataset__1[[#This Row],[Shipment_Type]]="Kara","Road",IF(logistics_classification_dataset__1[[#This Row],[Shipment_Type]]="Hava","Air",IF(logistics_classification_dataset__1[[#This Row],[Shipment_Type]]="Deniz","Sea")))</f>
        <v>Air</v>
      </c>
      <c r="F791">
        <v>1966.69</v>
      </c>
      <c r="G791" t="str">
        <f t="shared" si="24"/>
        <v>1501–2000</v>
      </c>
      <c r="H791" s="1">
        <v>577.70000000000005</v>
      </c>
      <c r="I791" t="str">
        <f t="shared" si="25"/>
        <v>501–1000</v>
      </c>
      <c r="J791" t="s">
        <v>14</v>
      </c>
      <c r="K791" t="str">
        <f>IF(logistics_classification_dataset__1[[#This Row],[Customer_Segment]]="Bireysel","Individual",IF(logistics_classification_dataset__1[[#This Row],[Customer_Segment]]="Kurumsal","Corporate"))</f>
        <v>Corporate</v>
      </c>
      <c r="L791">
        <v>1</v>
      </c>
    </row>
    <row r="792" spans="1:12" x14ac:dyDescent="0.35">
      <c r="A792">
        <v>791</v>
      </c>
      <c r="B792" t="s">
        <v>17</v>
      </c>
      <c r="C792" t="s">
        <v>12</v>
      </c>
      <c r="D792" t="s">
        <v>10</v>
      </c>
      <c r="E792" t="str">
        <f>IF(logistics_classification_dataset__1[[#This Row],[Shipment_Type]]="Kara","Road",IF(logistics_classification_dataset__1[[#This Row],[Shipment_Type]]="Hava","Air",IF(logistics_classification_dataset__1[[#This Row],[Shipment_Type]]="Deniz","Sea")))</f>
        <v>Road</v>
      </c>
      <c r="F792">
        <v>1574.48</v>
      </c>
      <c r="G792" t="str">
        <f t="shared" si="24"/>
        <v>1501–2000</v>
      </c>
      <c r="H792" s="1">
        <v>428.6</v>
      </c>
      <c r="I792" t="str">
        <f t="shared" si="25"/>
        <v>0–500</v>
      </c>
      <c r="J792" t="s">
        <v>11</v>
      </c>
      <c r="K792" t="str">
        <f>IF(logistics_classification_dataset__1[[#This Row],[Customer_Segment]]="Bireysel","Individual",IF(logistics_classification_dataset__1[[#This Row],[Customer_Segment]]="Kurumsal","Corporate"))</f>
        <v>Individual</v>
      </c>
      <c r="L792">
        <v>0</v>
      </c>
    </row>
    <row r="793" spans="1:12" x14ac:dyDescent="0.35">
      <c r="A793">
        <v>792</v>
      </c>
      <c r="B793" t="s">
        <v>21</v>
      </c>
      <c r="C793" t="s">
        <v>16</v>
      </c>
      <c r="D793" t="s">
        <v>10</v>
      </c>
      <c r="E793" t="str">
        <f>IF(logistics_classification_dataset__1[[#This Row],[Shipment_Type]]="Kara","Road",IF(logistics_classification_dataset__1[[#This Row],[Shipment_Type]]="Hava","Air",IF(logistics_classification_dataset__1[[#This Row],[Shipment_Type]]="Deniz","Sea")))</f>
        <v>Road</v>
      </c>
      <c r="F793">
        <v>1548.46</v>
      </c>
      <c r="G793" t="str">
        <f t="shared" si="24"/>
        <v>1501–2000</v>
      </c>
      <c r="H793" s="1">
        <v>975.1</v>
      </c>
      <c r="I793" t="str">
        <f t="shared" si="25"/>
        <v>501–1000</v>
      </c>
      <c r="J793" t="s">
        <v>14</v>
      </c>
      <c r="K793" t="str">
        <f>IF(logistics_classification_dataset__1[[#This Row],[Customer_Segment]]="Bireysel","Individual",IF(logistics_classification_dataset__1[[#This Row],[Customer_Segment]]="Kurumsal","Corporate"))</f>
        <v>Corporate</v>
      </c>
      <c r="L793">
        <v>1</v>
      </c>
    </row>
    <row r="794" spans="1:12" x14ac:dyDescent="0.35">
      <c r="A794">
        <v>793</v>
      </c>
      <c r="B794" t="s">
        <v>18</v>
      </c>
      <c r="C794" t="s">
        <v>22</v>
      </c>
      <c r="D794" t="s">
        <v>10</v>
      </c>
      <c r="E794" t="str">
        <f>IF(logistics_classification_dataset__1[[#This Row],[Shipment_Type]]="Kara","Road",IF(logistics_classification_dataset__1[[#This Row],[Shipment_Type]]="Hava","Air",IF(logistics_classification_dataset__1[[#This Row],[Shipment_Type]]="Deniz","Sea")))</f>
        <v>Road</v>
      </c>
      <c r="F794">
        <v>1496.94</v>
      </c>
      <c r="G794" t="str">
        <f t="shared" si="24"/>
        <v>1001–1500</v>
      </c>
      <c r="H794" s="1">
        <v>64.3</v>
      </c>
      <c r="I794" t="str">
        <f t="shared" si="25"/>
        <v>0–500</v>
      </c>
      <c r="J794" t="s">
        <v>11</v>
      </c>
      <c r="K794" t="str">
        <f>IF(logistics_classification_dataset__1[[#This Row],[Customer_Segment]]="Bireysel","Individual",IF(logistics_classification_dataset__1[[#This Row],[Customer_Segment]]="Kurumsal","Corporate"))</f>
        <v>Individual</v>
      </c>
      <c r="L794">
        <v>1</v>
      </c>
    </row>
    <row r="795" spans="1:12" x14ac:dyDescent="0.35">
      <c r="A795">
        <v>794</v>
      </c>
      <c r="B795" t="s">
        <v>18</v>
      </c>
      <c r="C795" t="s">
        <v>13</v>
      </c>
      <c r="D795" t="s">
        <v>10</v>
      </c>
      <c r="E795" t="str">
        <f>IF(logistics_classification_dataset__1[[#This Row],[Shipment_Type]]="Kara","Road",IF(logistics_classification_dataset__1[[#This Row],[Shipment_Type]]="Hava","Air",IF(logistics_classification_dataset__1[[#This Row],[Shipment_Type]]="Deniz","Sea")))</f>
        <v>Road</v>
      </c>
      <c r="F795">
        <v>305.45999999999998</v>
      </c>
      <c r="G795" t="str">
        <f t="shared" si="24"/>
        <v>0–500</v>
      </c>
      <c r="H795" s="1">
        <v>100.3</v>
      </c>
      <c r="I795" t="str">
        <f t="shared" si="25"/>
        <v>0–500</v>
      </c>
      <c r="J795" t="s">
        <v>14</v>
      </c>
      <c r="K795" t="str">
        <f>IF(logistics_classification_dataset__1[[#This Row],[Customer_Segment]]="Bireysel","Individual",IF(logistics_classification_dataset__1[[#This Row],[Customer_Segment]]="Kurumsal","Corporate"))</f>
        <v>Corporate</v>
      </c>
      <c r="L795">
        <v>1</v>
      </c>
    </row>
    <row r="796" spans="1:12" x14ac:dyDescent="0.35">
      <c r="A796">
        <v>795</v>
      </c>
      <c r="B796" t="s">
        <v>20</v>
      </c>
      <c r="C796" t="s">
        <v>22</v>
      </c>
      <c r="D796" t="s">
        <v>10</v>
      </c>
      <c r="E796" t="str">
        <f>IF(logistics_classification_dataset__1[[#This Row],[Shipment_Type]]="Kara","Road",IF(logistics_classification_dataset__1[[#This Row],[Shipment_Type]]="Hava","Air",IF(logistics_classification_dataset__1[[#This Row],[Shipment_Type]]="Deniz","Sea")))</f>
        <v>Road</v>
      </c>
      <c r="F796">
        <v>438.38</v>
      </c>
      <c r="G796" t="str">
        <f t="shared" si="24"/>
        <v>0–500</v>
      </c>
      <c r="H796" s="1">
        <v>1128.9000000000001</v>
      </c>
      <c r="I796" t="str">
        <f t="shared" si="25"/>
        <v>1001–1500</v>
      </c>
      <c r="J796" t="s">
        <v>11</v>
      </c>
      <c r="K796" t="str">
        <f>IF(logistics_classification_dataset__1[[#This Row],[Customer_Segment]]="Bireysel","Individual",IF(logistics_classification_dataset__1[[#This Row],[Customer_Segment]]="Kurumsal","Corporate"))</f>
        <v>Individual</v>
      </c>
      <c r="L796">
        <v>1</v>
      </c>
    </row>
    <row r="797" spans="1:12" x14ac:dyDescent="0.35">
      <c r="A797">
        <v>796</v>
      </c>
      <c r="B797" t="s">
        <v>8</v>
      </c>
      <c r="C797" t="s">
        <v>20</v>
      </c>
      <c r="D797" t="s">
        <v>15</v>
      </c>
      <c r="E797" t="str">
        <f>IF(logistics_classification_dataset__1[[#This Row],[Shipment_Type]]="Kara","Road",IF(logistics_classification_dataset__1[[#This Row],[Shipment_Type]]="Hava","Air",IF(logistics_classification_dataset__1[[#This Row],[Shipment_Type]]="Deniz","Sea")))</f>
        <v>Air</v>
      </c>
      <c r="F797">
        <v>930.66</v>
      </c>
      <c r="G797" t="str">
        <f t="shared" si="24"/>
        <v>501–1000</v>
      </c>
      <c r="H797" s="1">
        <v>1064.9000000000001</v>
      </c>
      <c r="I797" t="str">
        <f t="shared" si="25"/>
        <v>1001–1500</v>
      </c>
      <c r="J797" t="s">
        <v>11</v>
      </c>
      <c r="K797" t="str">
        <f>IF(logistics_classification_dataset__1[[#This Row],[Customer_Segment]]="Bireysel","Individual",IF(logistics_classification_dataset__1[[#This Row],[Customer_Segment]]="Kurumsal","Corporate"))</f>
        <v>Individual</v>
      </c>
      <c r="L797">
        <v>1</v>
      </c>
    </row>
    <row r="798" spans="1:12" x14ac:dyDescent="0.35">
      <c r="A798">
        <v>797</v>
      </c>
      <c r="B798" t="s">
        <v>16</v>
      </c>
      <c r="C798" t="s">
        <v>22</v>
      </c>
      <c r="D798" t="s">
        <v>10</v>
      </c>
      <c r="E798" t="str">
        <f>IF(logistics_classification_dataset__1[[#This Row],[Shipment_Type]]="Kara","Road",IF(logistics_classification_dataset__1[[#This Row],[Shipment_Type]]="Hava","Air",IF(logistics_classification_dataset__1[[#This Row],[Shipment_Type]]="Deniz","Sea")))</f>
        <v>Road</v>
      </c>
      <c r="F798">
        <v>531.69000000000005</v>
      </c>
      <c r="G798" t="str">
        <f t="shared" si="24"/>
        <v>501–1000</v>
      </c>
      <c r="H798" s="1">
        <v>1989.4</v>
      </c>
      <c r="I798" t="str">
        <f t="shared" si="25"/>
        <v>1501–2000</v>
      </c>
      <c r="J798" t="s">
        <v>11</v>
      </c>
      <c r="K798" t="str">
        <f>IF(logistics_classification_dataset__1[[#This Row],[Customer_Segment]]="Bireysel","Individual",IF(logistics_classification_dataset__1[[#This Row],[Customer_Segment]]="Kurumsal","Corporate"))</f>
        <v>Individual</v>
      </c>
      <c r="L798">
        <v>0</v>
      </c>
    </row>
    <row r="799" spans="1:12" x14ac:dyDescent="0.35">
      <c r="A799">
        <v>798</v>
      </c>
      <c r="B799" t="s">
        <v>17</v>
      </c>
      <c r="C799" t="s">
        <v>20</v>
      </c>
      <c r="D799" t="s">
        <v>15</v>
      </c>
      <c r="E799" t="str">
        <f>IF(logistics_classification_dataset__1[[#This Row],[Shipment_Type]]="Kara","Road",IF(logistics_classification_dataset__1[[#This Row],[Shipment_Type]]="Hava","Air",IF(logistics_classification_dataset__1[[#This Row],[Shipment_Type]]="Deniz","Sea")))</f>
        <v>Air</v>
      </c>
      <c r="F799">
        <v>833.41</v>
      </c>
      <c r="G799" t="str">
        <f t="shared" si="24"/>
        <v>501–1000</v>
      </c>
      <c r="H799" s="1">
        <v>443.6</v>
      </c>
      <c r="I799" t="str">
        <f t="shared" si="25"/>
        <v>0–500</v>
      </c>
      <c r="J799" t="s">
        <v>11</v>
      </c>
      <c r="K799" t="str">
        <f>IF(logistics_classification_dataset__1[[#This Row],[Customer_Segment]]="Bireysel","Individual",IF(logistics_classification_dataset__1[[#This Row],[Customer_Segment]]="Kurumsal","Corporate"))</f>
        <v>Individual</v>
      </c>
      <c r="L799">
        <v>1</v>
      </c>
    </row>
    <row r="800" spans="1:12" x14ac:dyDescent="0.35">
      <c r="A800">
        <v>799</v>
      </c>
      <c r="B800" t="s">
        <v>8</v>
      </c>
      <c r="C800" t="s">
        <v>22</v>
      </c>
      <c r="D800" t="s">
        <v>10</v>
      </c>
      <c r="E800" t="str">
        <f>IF(logistics_classification_dataset__1[[#This Row],[Shipment_Type]]="Kara","Road",IF(logistics_classification_dataset__1[[#This Row],[Shipment_Type]]="Hava","Air",IF(logistics_classification_dataset__1[[#This Row],[Shipment_Type]]="Deniz","Sea")))</f>
        <v>Road</v>
      </c>
      <c r="F800">
        <v>1777.49</v>
      </c>
      <c r="G800" t="str">
        <f t="shared" si="24"/>
        <v>1501–2000</v>
      </c>
      <c r="H800" s="1">
        <v>553.29999999999995</v>
      </c>
      <c r="I800" t="str">
        <f t="shared" si="25"/>
        <v>501–1000</v>
      </c>
      <c r="J800" t="s">
        <v>11</v>
      </c>
      <c r="K800" t="str">
        <f>IF(logistics_classification_dataset__1[[#This Row],[Customer_Segment]]="Bireysel","Individual",IF(logistics_classification_dataset__1[[#This Row],[Customer_Segment]]="Kurumsal","Corporate"))</f>
        <v>Individual</v>
      </c>
      <c r="L800">
        <v>1</v>
      </c>
    </row>
    <row r="801" spans="1:12" x14ac:dyDescent="0.35">
      <c r="A801">
        <v>800</v>
      </c>
      <c r="B801" t="s">
        <v>20</v>
      </c>
      <c r="C801" t="s">
        <v>13</v>
      </c>
      <c r="D801" t="s">
        <v>10</v>
      </c>
      <c r="E801" t="str">
        <f>IF(logistics_classification_dataset__1[[#This Row],[Shipment_Type]]="Kara","Road",IF(logistics_classification_dataset__1[[#This Row],[Shipment_Type]]="Hava","Air",IF(logistics_classification_dataset__1[[#This Row],[Shipment_Type]]="Deniz","Sea")))</f>
        <v>Road</v>
      </c>
      <c r="F801">
        <v>1649.53</v>
      </c>
      <c r="G801" t="str">
        <f t="shared" si="24"/>
        <v>1501–2000</v>
      </c>
      <c r="H801" s="1">
        <v>271.39999999999998</v>
      </c>
      <c r="I801" t="str">
        <f t="shared" si="25"/>
        <v>0–500</v>
      </c>
      <c r="J801" t="s">
        <v>14</v>
      </c>
      <c r="K801" t="str">
        <f>IF(logistics_classification_dataset__1[[#This Row],[Customer_Segment]]="Bireysel","Individual",IF(logistics_classification_dataset__1[[#This Row],[Customer_Segment]]="Kurumsal","Corporate"))</f>
        <v>Corporate</v>
      </c>
      <c r="L801">
        <v>0</v>
      </c>
    </row>
    <row r="802" spans="1:12" x14ac:dyDescent="0.35">
      <c r="A802">
        <v>801</v>
      </c>
      <c r="B802" t="s">
        <v>9</v>
      </c>
      <c r="C802" t="s">
        <v>22</v>
      </c>
      <c r="D802" t="s">
        <v>10</v>
      </c>
      <c r="E802" t="str">
        <f>IF(logistics_classification_dataset__1[[#This Row],[Shipment_Type]]="Kara","Road",IF(logistics_classification_dataset__1[[#This Row],[Shipment_Type]]="Hava","Air",IF(logistics_classification_dataset__1[[#This Row],[Shipment_Type]]="Deniz","Sea")))</f>
        <v>Road</v>
      </c>
      <c r="F802">
        <v>1261.93</v>
      </c>
      <c r="G802" t="str">
        <f t="shared" si="24"/>
        <v>1001–1500</v>
      </c>
      <c r="H802" s="1">
        <v>1839.2</v>
      </c>
      <c r="I802" t="str">
        <f t="shared" si="25"/>
        <v>1501–2000</v>
      </c>
      <c r="J802" t="s">
        <v>11</v>
      </c>
      <c r="K802" t="str">
        <f>IF(logistics_classification_dataset__1[[#This Row],[Customer_Segment]]="Bireysel","Individual",IF(logistics_classification_dataset__1[[#This Row],[Customer_Segment]]="Kurumsal","Corporate"))</f>
        <v>Individual</v>
      </c>
      <c r="L802">
        <v>1</v>
      </c>
    </row>
    <row r="803" spans="1:12" x14ac:dyDescent="0.35">
      <c r="A803">
        <v>802</v>
      </c>
      <c r="B803" t="s">
        <v>8</v>
      </c>
      <c r="C803" t="s">
        <v>22</v>
      </c>
      <c r="D803" t="s">
        <v>10</v>
      </c>
      <c r="E803" t="str">
        <f>IF(logistics_classification_dataset__1[[#This Row],[Shipment_Type]]="Kara","Road",IF(logistics_classification_dataset__1[[#This Row],[Shipment_Type]]="Hava","Air",IF(logistics_classification_dataset__1[[#This Row],[Shipment_Type]]="Deniz","Sea")))</f>
        <v>Road</v>
      </c>
      <c r="F803">
        <v>1716.95</v>
      </c>
      <c r="G803" t="str">
        <f t="shared" si="24"/>
        <v>1501–2000</v>
      </c>
      <c r="H803" s="1">
        <v>1566.7</v>
      </c>
      <c r="I803" t="str">
        <f t="shared" si="25"/>
        <v>1501–2000</v>
      </c>
      <c r="J803" t="s">
        <v>14</v>
      </c>
      <c r="K803" t="str">
        <f>IF(logistics_classification_dataset__1[[#This Row],[Customer_Segment]]="Bireysel","Individual",IF(logistics_classification_dataset__1[[#This Row],[Customer_Segment]]="Kurumsal","Corporate"))</f>
        <v>Corporate</v>
      </c>
      <c r="L803">
        <v>1</v>
      </c>
    </row>
    <row r="804" spans="1:12" x14ac:dyDescent="0.35">
      <c r="A804">
        <v>803</v>
      </c>
      <c r="B804" t="s">
        <v>21</v>
      </c>
      <c r="C804" t="s">
        <v>12</v>
      </c>
      <c r="D804" t="s">
        <v>10</v>
      </c>
      <c r="E804" t="str">
        <f>IF(logistics_classification_dataset__1[[#This Row],[Shipment_Type]]="Kara","Road",IF(logistics_classification_dataset__1[[#This Row],[Shipment_Type]]="Hava","Air",IF(logistics_classification_dataset__1[[#This Row],[Shipment_Type]]="Deniz","Sea")))</f>
        <v>Road</v>
      </c>
      <c r="F804">
        <v>1568.63</v>
      </c>
      <c r="G804" t="str">
        <f t="shared" si="24"/>
        <v>1501–2000</v>
      </c>
      <c r="H804" s="1">
        <v>1653.6</v>
      </c>
      <c r="I804" t="str">
        <f t="shared" si="25"/>
        <v>1501–2000</v>
      </c>
      <c r="J804" t="s">
        <v>11</v>
      </c>
      <c r="K804" t="str">
        <f>IF(logistics_classification_dataset__1[[#This Row],[Customer_Segment]]="Bireysel","Individual",IF(logistics_classification_dataset__1[[#This Row],[Customer_Segment]]="Kurumsal","Corporate"))</f>
        <v>Individual</v>
      </c>
      <c r="L804">
        <v>1</v>
      </c>
    </row>
    <row r="805" spans="1:12" x14ac:dyDescent="0.35">
      <c r="A805">
        <v>804</v>
      </c>
      <c r="B805" t="s">
        <v>17</v>
      </c>
      <c r="C805" t="s">
        <v>12</v>
      </c>
      <c r="D805" t="s">
        <v>10</v>
      </c>
      <c r="E805" t="str">
        <f>IF(logistics_classification_dataset__1[[#This Row],[Shipment_Type]]="Kara","Road",IF(logistics_classification_dataset__1[[#This Row],[Shipment_Type]]="Hava","Air",IF(logistics_classification_dataset__1[[#This Row],[Shipment_Type]]="Deniz","Sea")))</f>
        <v>Road</v>
      </c>
      <c r="F805">
        <v>860.82</v>
      </c>
      <c r="G805" t="str">
        <f t="shared" si="24"/>
        <v>501–1000</v>
      </c>
      <c r="H805" s="1">
        <v>1810.4</v>
      </c>
      <c r="I805" t="str">
        <f t="shared" si="25"/>
        <v>1501–2000</v>
      </c>
      <c r="J805" t="s">
        <v>14</v>
      </c>
      <c r="K805" t="str">
        <f>IF(logistics_classification_dataset__1[[#This Row],[Customer_Segment]]="Bireysel","Individual",IF(logistics_classification_dataset__1[[#This Row],[Customer_Segment]]="Kurumsal","Corporate"))</f>
        <v>Corporate</v>
      </c>
      <c r="L805">
        <v>1</v>
      </c>
    </row>
    <row r="806" spans="1:12" x14ac:dyDescent="0.35">
      <c r="A806">
        <v>805</v>
      </c>
      <c r="B806" t="s">
        <v>20</v>
      </c>
      <c r="C806" t="s">
        <v>8</v>
      </c>
      <c r="D806" t="s">
        <v>10</v>
      </c>
      <c r="E806" t="str">
        <f>IF(logistics_classification_dataset__1[[#This Row],[Shipment_Type]]="Kara","Road",IF(logistics_classification_dataset__1[[#This Row],[Shipment_Type]]="Hava","Air",IF(logistics_classification_dataset__1[[#This Row],[Shipment_Type]]="Deniz","Sea")))</f>
        <v>Road</v>
      </c>
      <c r="F806">
        <v>406.12</v>
      </c>
      <c r="G806" t="str">
        <f t="shared" si="24"/>
        <v>0–500</v>
      </c>
      <c r="H806" s="1">
        <v>1073.5999999999999</v>
      </c>
      <c r="I806" t="str">
        <f t="shared" si="25"/>
        <v>1001–1500</v>
      </c>
      <c r="J806" t="s">
        <v>11</v>
      </c>
      <c r="K806" t="str">
        <f>IF(logistics_classification_dataset__1[[#This Row],[Customer_Segment]]="Bireysel","Individual",IF(logistics_classification_dataset__1[[#This Row],[Customer_Segment]]="Kurumsal","Corporate"))</f>
        <v>Individual</v>
      </c>
      <c r="L806">
        <v>1</v>
      </c>
    </row>
    <row r="807" spans="1:12" x14ac:dyDescent="0.35">
      <c r="A807">
        <v>806</v>
      </c>
      <c r="B807" t="s">
        <v>9</v>
      </c>
      <c r="C807" t="s">
        <v>12</v>
      </c>
      <c r="D807" t="s">
        <v>15</v>
      </c>
      <c r="E807" t="str">
        <f>IF(logistics_classification_dataset__1[[#This Row],[Shipment_Type]]="Kara","Road",IF(logistics_classification_dataset__1[[#This Row],[Shipment_Type]]="Hava","Air",IF(logistics_classification_dataset__1[[#This Row],[Shipment_Type]]="Deniz","Sea")))</f>
        <v>Air</v>
      </c>
      <c r="F807">
        <v>1030.83</v>
      </c>
      <c r="G807" t="str">
        <f t="shared" si="24"/>
        <v>1001–1500</v>
      </c>
      <c r="H807" s="1">
        <v>929.8</v>
      </c>
      <c r="I807" t="str">
        <f t="shared" si="25"/>
        <v>501–1000</v>
      </c>
      <c r="J807" t="s">
        <v>11</v>
      </c>
      <c r="K807" t="str">
        <f>IF(logistics_classification_dataset__1[[#This Row],[Customer_Segment]]="Bireysel","Individual",IF(logistics_classification_dataset__1[[#This Row],[Customer_Segment]]="Kurumsal","Corporate"))</f>
        <v>Individual</v>
      </c>
      <c r="L807">
        <v>1</v>
      </c>
    </row>
    <row r="808" spans="1:12" x14ac:dyDescent="0.35">
      <c r="A808">
        <v>807</v>
      </c>
      <c r="B808" t="s">
        <v>12</v>
      </c>
      <c r="C808" t="s">
        <v>22</v>
      </c>
      <c r="D808" t="s">
        <v>10</v>
      </c>
      <c r="E808" t="str">
        <f>IF(logistics_classification_dataset__1[[#This Row],[Shipment_Type]]="Kara","Road",IF(logistics_classification_dataset__1[[#This Row],[Shipment_Type]]="Hava","Air",IF(logistics_classification_dataset__1[[#This Row],[Shipment_Type]]="Deniz","Sea")))</f>
        <v>Road</v>
      </c>
      <c r="F808">
        <v>1473.78</v>
      </c>
      <c r="G808" t="str">
        <f t="shared" si="24"/>
        <v>1001–1500</v>
      </c>
      <c r="H808" s="1">
        <v>694.3</v>
      </c>
      <c r="I808" t="str">
        <f t="shared" si="25"/>
        <v>501–1000</v>
      </c>
      <c r="J808" t="s">
        <v>14</v>
      </c>
      <c r="K808" t="str">
        <f>IF(logistics_classification_dataset__1[[#This Row],[Customer_Segment]]="Bireysel","Individual",IF(logistics_classification_dataset__1[[#This Row],[Customer_Segment]]="Kurumsal","Corporate"))</f>
        <v>Corporate</v>
      </c>
      <c r="L808">
        <v>1</v>
      </c>
    </row>
    <row r="809" spans="1:12" x14ac:dyDescent="0.35">
      <c r="A809">
        <v>808</v>
      </c>
      <c r="B809" t="s">
        <v>20</v>
      </c>
      <c r="C809" t="s">
        <v>17</v>
      </c>
      <c r="D809" t="s">
        <v>15</v>
      </c>
      <c r="E809" t="str">
        <f>IF(logistics_classification_dataset__1[[#This Row],[Shipment_Type]]="Kara","Road",IF(logistics_classification_dataset__1[[#This Row],[Shipment_Type]]="Hava","Air",IF(logistics_classification_dataset__1[[#This Row],[Shipment_Type]]="Deniz","Sea")))</f>
        <v>Air</v>
      </c>
      <c r="F809">
        <v>875.66</v>
      </c>
      <c r="G809" t="str">
        <f t="shared" si="24"/>
        <v>501–1000</v>
      </c>
      <c r="H809" s="1">
        <v>1199</v>
      </c>
      <c r="I809" t="str">
        <f t="shared" si="25"/>
        <v>1001–1500</v>
      </c>
      <c r="J809" t="s">
        <v>11</v>
      </c>
      <c r="K809" t="str">
        <f>IF(logistics_classification_dataset__1[[#This Row],[Customer_Segment]]="Bireysel","Individual",IF(logistics_classification_dataset__1[[#This Row],[Customer_Segment]]="Kurumsal","Corporate"))</f>
        <v>Individual</v>
      </c>
      <c r="L809">
        <v>1</v>
      </c>
    </row>
    <row r="810" spans="1:12" x14ac:dyDescent="0.35">
      <c r="A810">
        <v>809</v>
      </c>
      <c r="B810" t="s">
        <v>12</v>
      </c>
      <c r="C810" t="s">
        <v>8</v>
      </c>
      <c r="D810" t="s">
        <v>19</v>
      </c>
      <c r="E810" t="str">
        <f>IF(logistics_classification_dataset__1[[#This Row],[Shipment_Type]]="Kara","Road",IF(logistics_classification_dataset__1[[#This Row],[Shipment_Type]]="Hava","Air",IF(logistics_classification_dataset__1[[#This Row],[Shipment_Type]]="Deniz","Sea")))</f>
        <v>Sea</v>
      </c>
      <c r="F810">
        <v>1335.21</v>
      </c>
      <c r="G810" t="str">
        <f t="shared" si="24"/>
        <v>1001–1500</v>
      </c>
      <c r="H810" s="1">
        <v>935.8</v>
      </c>
      <c r="I810" t="str">
        <f t="shared" si="25"/>
        <v>501–1000</v>
      </c>
      <c r="J810" t="s">
        <v>11</v>
      </c>
      <c r="K810" t="str">
        <f>IF(logistics_classification_dataset__1[[#This Row],[Customer_Segment]]="Bireysel","Individual",IF(logistics_classification_dataset__1[[#This Row],[Customer_Segment]]="Kurumsal","Corporate"))</f>
        <v>Individual</v>
      </c>
      <c r="L810">
        <v>1</v>
      </c>
    </row>
    <row r="811" spans="1:12" x14ac:dyDescent="0.35">
      <c r="A811">
        <v>810</v>
      </c>
      <c r="B811" t="s">
        <v>17</v>
      </c>
      <c r="C811" t="s">
        <v>13</v>
      </c>
      <c r="D811" t="s">
        <v>10</v>
      </c>
      <c r="E811" t="str">
        <f>IF(logistics_classification_dataset__1[[#This Row],[Shipment_Type]]="Kara","Road",IF(logistics_classification_dataset__1[[#This Row],[Shipment_Type]]="Hava","Air",IF(logistics_classification_dataset__1[[#This Row],[Shipment_Type]]="Deniz","Sea")))</f>
        <v>Road</v>
      </c>
      <c r="F811">
        <v>193.18</v>
      </c>
      <c r="G811" t="str">
        <f t="shared" si="24"/>
        <v>0–500</v>
      </c>
      <c r="H811" s="1">
        <v>930.6</v>
      </c>
      <c r="I811" t="str">
        <f t="shared" si="25"/>
        <v>501–1000</v>
      </c>
      <c r="J811" t="s">
        <v>11</v>
      </c>
      <c r="K811" t="str">
        <f>IF(logistics_classification_dataset__1[[#This Row],[Customer_Segment]]="Bireysel","Individual",IF(logistics_classification_dataset__1[[#This Row],[Customer_Segment]]="Kurumsal","Corporate"))</f>
        <v>Individual</v>
      </c>
      <c r="L811">
        <v>1</v>
      </c>
    </row>
    <row r="812" spans="1:12" x14ac:dyDescent="0.35">
      <c r="A812">
        <v>811</v>
      </c>
      <c r="B812" t="s">
        <v>18</v>
      </c>
      <c r="C812" t="s">
        <v>22</v>
      </c>
      <c r="D812" t="s">
        <v>10</v>
      </c>
      <c r="E812" t="str">
        <f>IF(logistics_classification_dataset__1[[#This Row],[Shipment_Type]]="Kara","Road",IF(logistics_classification_dataset__1[[#This Row],[Shipment_Type]]="Hava","Air",IF(logistics_classification_dataset__1[[#This Row],[Shipment_Type]]="Deniz","Sea")))</f>
        <v>Road</v>
      </c>
      <c r="F812">
        <v>1497.27</v>
      </c>
      <c r="G812" t="str">
        <f t="shared" si="24"/>
        <v>1001–1500</v>
      </c>
      <c r="H812" s="1">
        <v>1877</v>
      </c>
      <c r="I812" t="str">
        <f t="shared" si="25"/>
        <v>1501–2000</v>
      </c>
      <c r="J812" t="s">
        <v>11</v>
      </c>
      <c r="K812" t="str">
        <f>IF(logistics_classification_dataset__1[[#This Row],[Customer_Segment]]="Bireysel","Individual",IF(logistics_classification_dataset__1[[#This Row],[Customer_Segment]]="Kurumsal","Corporate"))</f>
        <v>Individual</v>
      </c>
      <c r="L812">
        <v>1</v>
      </c>
    </row>
    <row r="813" spans="1:12" x14ac:dyDescent="0.35">
      <c r="A813">
        <v>812</v>
      </c>
      <c r="B813" t="s">
        <v>20</v>
      </c>
      <c r="C813" t="s">
        <v>16</v>
      </c>
      <c r="D813" t="s">
        <v>10</v>
      </c>
      <c r="E813" t="str">
        <f>IF(logistics_classification_dataset__1[[#This Row],[Shipment_Type]]="Kara","Road",IF(logistics_classification_dataset__1[[#This Row],[Shipment_Type]]="Hava","Air",IF(logistics_classification_dataset__1[[#This Row],[Shipment_Type]]="Deniz","Sea")))</f>
        <v>Road</v>
      </c>
      <c r="F813">
        <v>1626.36</v>
      </c>
      <c r="G813" t="str">
        <f t="shared" si="24"/>
        <v>1501–2000</v>
      </c>
      <c r="H813" s="1">
        <v>1968.9</v>
      </c>
      <c r="I813" t="str">
        <f t="shared" si="25"/>
        <v>1501–2000</v>
      </c>
      <c r="J813" t="s">
        <v>11</v>
      </c>
      <c r="K813" t="str">
        <f>IF(logistics_classification_dataset__1[[#This Row],[Customer_Segment]]="Bireysel","Individual",IF(logistics_classification_dataset__1[[#This Row],[Customer_Segment]]="Kurumsal","Corporate"))</f>
        <v>Individual</v>
      </c>
      <c r="L813">
        <v>0</v>
      </c>
    </row>
    <row r="814" spans="1:12" x14ac:dyDescent="0.35">
      <c r="A814">
        <v>813</v>
      </c>
      <c r="B814" t="s">
        <v>22</v>
      </c>
      <c r="C814" t="s">
        <v>9</v>
      </c>
      <c r="D814" t="s">
        <v>10</v>
      </c>
      <c r="E814" t="str">
        <f>IF(logistics_classification_dataset__1[[#This Row],[Shipment_Type]]="Kara","Road",IF(logistics_classification_dataset__1[[#This Row],[Shipment_Type]]="Hava","Air",IF(logistics_classification_dataset__1[[#This Row],[Shipment_Type]]="Deniz","Sea")))</f>
        <v>Road</v>
      </c>
      <c r="F814">
        <v>1415.14</v>
      </c>
      <c r="G814" t="str">
        <f t="shared" si="24"/>
        <v>1001–1500</v>
      </c>
      <c r="H814" s="1">
        <v>1603.1</v>
      </c>
      <c r="I814" t="str">
        <f t="shared" si="25"/>
        <v>1501–2000</v>
      </c>
      <c r="J814" t="s">
        <v>14</v>
      </c>
      <c r="K814" t="str">
        <f>IF(logistics_classification_dataset__1[[#This Row],[Customer_Segment]]="Bireysel","Individual",IF(logistics_classification_dataset__1[[#This Row],[Customer_Segment]]="Kurumsal","Corporate"))</f>
        <v>Corporate</v>
      </c>
      <c r="L814">
        <v>1</v>
      </c>
    </row>
    <row r="815" spans="1:12" x14ac:dyDescent="0.35">
      <c r="A815">
        <v>814</v>
      </c>
      <c r="B815" t="s">
        <v>12</v>
      </c>
      <c r="C815" t="s">
        <v>8</v>
      </c>
      <c r="D815" t="s">
        <v>10</v>
      </c>
      <c r="E815" t="str">
        <f>IF(logistics_classification_dataset__1[[#This Row],[Shipment_Type]]="Kara","Road",IF(logistics_classification_dataset__1[[#This Row],[Shipment_Type]]="Hava","Air",IF(logistics_classification_dataset__1[[#This Row],[Shipment_Type]]="Deniz","Sea")))</f>
        <v>Road</v>
      </c>
      <c r="F815">
        <v>1934.69</v>
      </c>
      <c r="G815" t="str">
        <f t="shared" si="24"/>
        <v>1501–2000</v>
      </c>
      <c r="H815" s="1">
        <v>1525.7</v>
      </c>
      <c r="I815" t="str">
        <f t="shared" si="25"/>
        <v>1501–2000</v>
      </c>
      <c r="J815" t="s">
        <v>11</v>
      </c>
      <c r="K815" t="str">
        <f>IF(logistics_classification_dataset__1[[#This Row],[Customer_Segment]]="Bireysel","Individual",IF(logistics_classification_dataset__1[[#This Row],[Customer_Segment]]="Kurumsal","Corporate"))</f>
        <v>Individual</v>
      </c>
      <c r="L815">
        <v>1</v>
      </c>
    </row>
    <row r="816" spans="1:12" x14ac:dyDescent="0.35">
      <c r="A816">
        <v>815</v>
      </c>
      <c r="B816" t="s">
        <v>21</v>
      </c>
      <c r="C816" t="s">
        <v>13</v>
      </c>
      <c r="D816" t="s">
        <v>15</v>
      </c>
      <c r="E816" t="str">
        <f>IF(logistics_classification_dataset__1[[#This Row],[Shipment_Type]]="Kara","Road",IF(logistics_classification_dataset__1[[#This Row],[Shipment_Type]]="Hava","Air",IF(logistics_classification_dataset__1[[#This Row],[Shipment_Type]]="Deniz","Sea")))</f>
        <v>Air</v>
      </c>
      <c r="F816">
        <v>1654.17</v>
      </c>
      <c r="G816" t="str">
        <f t="shared" si="24"/>
        <v>1501–2000</v>
      </c>
      <c r="H816" s="1">
        <v>1377.1</v>
      </c>
      <c r="I816" t="str">
        <f t="shared" si="25"/>
        <v>1001–1500</v>
      </c>
      <c r="J816" t="s">
        <v>11</v>
      </c>
      <c r="K816" t="str">
        <f>IF(logistics_classification_dataset__1[[#This Row],[Customer_Segment]]="Bireysel","Individual",IF(logistics_classification_dataset__1[[#This Row],[Customer_Segment]]="Kurumsal","Corporate"))</f>
        <v>Individual</v>
      </c>
      <c r="L816">
        <v>1</v>
      </c>
    </row>
    <row r="817" spans="1:12" x14ac:dyDescent="0.35">
      <c r="A817">
        <v>816</v>
      </c>
      <c r="B817" t="s">
        <v>22</v>
      </c>
      <c r="C817" t="s">
        <v>21</v>
      </c>
      <c r="D817" t="s">
        <v>10</v>
      </c>
      <c r="E817" t="str">
        <f>IF(logistics_classification_dataset__1[[#This Row],[Shipment_Type]]="Kara","Road",IF(logistics_classification_dataset__1[[#This Row],[Shipment_Type]]="Hava","Air",IF(logistics_classification_dataset__1[[#This Row],[Shipment_Type]]="Deniz","Sea")))</f>
        <v>Road</v>
      </c>
      <c r="F817">
        <v>1806.67</v>
      </c>
      <c r="G817" t="str">
        <f t="shared" si="24"/>
        <v>1501–2000</v>
      </c>
      <c r="H817" s="1">
        <v>373.8</v>
      </c>
      <c r="I817" t="str">
        <f t="shared" si="25"/>
        <v>0–500</v>
      </c>
      <c r="J817" t="s">
        <v>11</v>
      </c>
      <c r="K817" t="str">
        <f>IF(logistics_classification_dataset__1[[#This Row],[Customer_Segment]]="Bireysel","Individual",IF(logistics_classification_dataset__1[[#This Row],[Customer_Segment]]="Kurumsal","Corporate"))</f>
        <v>Individual</v>
      </c>
      <c r="L817">
        <v>1</v>
      </c>
    </row>
    <row r="818" spans="1:12" x14ac:dyDescent="0.35">
      <c r="A818">
        <v>817</v>
      </c>
      <c r="B818" t="s">
        <v>13</v>
      </c>
      <c r="C818" t="s">
        <v>16</v>
      </c>
      <c r="D818" t="s">
        <v>10</v>
      </c>
      <c r="E818" t="str">
        <f>IF(logistics_classification_dataset__1[[#This Row],[Shipment_Type]]="Kara","Road",IF(logistics_classification_dataset__1[[#This Row],[Shipment_Type]]="Hava","Air",IF(logistics_classification_dataset__1[[#This Row],[Shipment_Type]]="Deniz","Sea")))</f>
        <v>Road</v>
      </c>
      <c r="F818">
        <v>1867.47</v>
      </c>
      <c r="G818" t="str">
        <f t="shared" si="24"/>
        <v>1501–2000</v>
      </c>
      <c r="H818" s="1">
        <v>165.3</v>
      </c>
      <c r="I818" t="str">
        <f t="shared" si="25"/>
        <v>0–500</v>
      </c>
      <c r="J818" t="s">
        <v>11</v>
      </c>
      <c r="K818" t="str">
        <f>IF(logistics_classification_dataset__1[[#This Row],[Customer_Segment]]="Bireysel","Individual",IF(logistics_classification_dataset__1[[#This Row],[Customer_Segment]]="Kurumsal","Corporate"))</f>
        <v>Individual</v>
      </c>
      <c r="L818">
        <v>0</v>
      </c>
    </row>
    <row r="819" spans="1:12" x14ac:dyDescent="0.35">
      <c r="A819">
        <v>818</v>
      </c>
      <c r="B819" t="s">
        <v>13</v>
      </c>
      <c r="C819" t="s">
        <v>21</v>
      </c>
      <c r="D819" t="s">
        <v>15</v>
      </c>
      <c r="E819" t="str">
        <f>IF(logistics_classification_dataset__1[[#This Row],[Shipment_Type]]="Kara","Road",IF(logistics_classification_dataset__1[[#This Row],[Shipment_Type]]="Hava","Air",IF(logistics_classification_dataset__1[[#This Row],[Shipment_Type]]="Deniz","Sea")))</f>
        <v>Air</v>
      </c>
      <c r="F819">
        <v>1603.69</v>
      </c>
      <c r="G819" t="str">
        <f t="shared" si="24"/>
        <v>1501–2000</v>
      </c>
      <c r="H819" s="1">
        <v>1396.9</v>
      </c>
      <c r="I819" t="str">
        <f t="shared" si="25"/>
        <v>1001–1500</v>
      </c>
      <c r="J819" t="s">
        <v>11</v>
      </c>
      <c r="K819" t="str">
        <f>IF(logistics_classification_dataset__1[[#This Row],[Customer_Segment]]="Bireysel","Individual",IF(logistics_classification_dataset__1[[#This Row],[Customer_Segment]]="Kurumsal","Corporate"))</f>
        <v>Individual</v>
      </c>
      <c r="L819">
        <v>1</v>
      </c>
    </row>
    <row r="820" spans="1:12" x14ac:dyDescent="0.35">
      <c r="A820">
        <v>819</v>
      </c>
      <c r="B820" t="s">
        <v>9</v>
      </c>
      <c r="C820" t="s">
        <v>22</v>
      </c>
      <c r="D820" t="s">
        <v>10</v>
      </c>
      <c r="E820" t="str">
        <f>IF(logistics_classification_dataset__1[[#This Row],[Shipment_Type]]="Kara","Road",IF(logistics_classification_dataset__1[[#This Row],[Shipment_Type]]="Hava","Air",IF(logistics_classification_dataset__1[[#This Row],[Shipment_Type]]="Deniz","Sea")))</f>
        <v>Road</v>
      </c>
      <c r="F820">
        <v>1350.15</v>
      </c>
      <c r="G820" t="str">
        <f t="shared" si="24"/>
        <v>1001–1500</v>
      </c>
      <c r="H820" s="1">
        <v>1471.1</v>
      </c>
      <c r="I820" t="str">
        <f t="shared" si="25"/>
        <v>1001–1500</v>
      </c>
      <c r="J820" t="s">
        <v>14</v>
      </c>
      <c r="K820" t="str">
        <f>IF(logistics_classification_dataset__1[[#This Row],[Customer_Segment]]="Bireysel","Individual",IF(logistics_classification_dataset__1[[#This Row],[Customer_Segment]]="Kurumsal","Corporate"))</f>
        <v>Corporate</v>
      </c>
      <c r="L820">
        <v>1</v>
      </c>
    </row>
    <row r="821" spans="1:12" x14ac:dyDescent="0.35">
      <c r="A821">
        <v>820</v>
      </c>
      <c r="B821" t="s">
        <v>18</v>
      </c>
      <c r="C821" t="s">
        <v>9</v>
      </c>
      <c r="D821" t="s">
        <v>15</v>
      </c>
      <c r="E821" t="str">
        <f>IF(logistics_classification_dataset__1[[#This Row],[Shipment_Type]]="Kara","Road",IF(logistics_classification_dataset__1[[#This Row],[Shipment_Type]]="Hava","Air",IF(logistics_classification_dataset__1[[#This Row],[Shipment_Type]]="Deniz","Sea")))</f>
        <v>Air</v>
      </c>
      <c r="F821">
        <v>16.41</v>
      </c>
      <c r="G821" t="str">
        <f t="shared" si="24"/>
        <v>0–500</v>
      </c>
      <c r="H821" s="1">
        <v>141.6</v>
      </c>
      <c r="I821" t="str">
        <f t="shared" si="25"/>
        <v>0–500</v>
      </c>
      <c r="J821" t="s">
        <v>11</v>
      </c>
      <c r="K821" t="str">
        <f>IF(logistics_classification_dataset__1[[#This Row],[Customer_Segment]]="Bireysel","Individual",IF(logistics_classification_dataset__1[[#This Row],[Customer_Segment]]="Kurumsal","Corporate"))</f>
        <v>Individual</v>
      </c>
      <c r="L821">
        <v>1</v>
      </c>
    </row>
    <row r="822" spans="1:12" x14ac:dyDescent="0.35">
      <c r="A822">
        <v>821</v>
      </c>
      <c r="B822" t="s">
        <v>17</v>
      </c>
      <c r="C822" t="s">
        <v>8</v>
      </c>
      <c r="D822" t="s">
        <v>10</v>
      </c>
      <c r="E822" t="str">
        <f>IF(logistics_classification_dataset__1[[#This Row],[Shipment_Type]]="Kara","Road",IF(logistics_classification_dataset__1[[#This Row],[Shipment_Type]]="Hava","Air",IF(logistics_classification_dataset__1[[#This Row],[Shipment_Type]]="Deniz","Sea")))</f>
        <v>Road</v>
      </c>
      <c r="F822">
        <v>934.32</v>
      </c>
      <c r="G822" t="str">
        <f t="shared" si="24"/>
        <v>501–1000</v>
      </c>
      <c r="H822" s="1">
        <v>1859.7</v>
      </c>
      <c r="I822" t="str">
        <f t="shared" si="25"/>
        <v>1501–2000</v>
      </c>
      <c r="J822" t="s">
        <v>14</v>
      </c>
      <c r="K822" t="str">
        <f>IF(logistics_classification_dataset__1[[#This Row],[Customer_Segment]]="Bireysel","Individual",IF(logistics_classification_dataset__1[[#This Row],[Customer_Segment]]="Kurumsal","Corporate"))</f>
        <v>Corporate</v>
      </c>
      <c r="L822">
        <v>1</v>
      </c>
    </row>
    <row r="823" spans="1:12" x14ac:dyDescent="0.35">
      <c r="A823">
        <v>822</v>
      </c>
      <c r="B823" t="s">
        <v>20</v>
      </c>
      <c r="C823" t="s">
        <v>8</v>
      </c>
      <c r="D823" t="s">
        <v>10</v>
      </c>
      <c r="E823" t="str">
        <f>IF(logistics_classification_dataset__1[[#This Row],[Shipment_Type]]="Kara","Road",IF(logistics_classification_dataset__1[[#This Row],[Shipment_Type]]="Hava","Air",IF(logistics_classification_dataset__1[[#This Row],[Shipment_Type]]="Deniz","Sea")))</f>
        <v>Road</v>
      </c>
      <c r="F823">
        <v>1144.47</v>
      </c>
      <c r="G823" t="str">
        <f t="shared" si="24"/>
        <v>1001–1500</v>
      </c>
      <c r="H823" s="1">
        <v>227.7</v>
      </c>
      <c r="I823" t="str">
        <f t="shared" si="25"/>
        <v>0–500</v>
      </c>
      <c r="J823" t="s">
        <v>11</v>
      </c>
      <c r="K823" t="str">
        <f>IF(logistics_classification_dataset__1[[#This Row],[Customer_Segment]]="Bireysel","Individual",IF(logistics_classification_dataset__1[[#This Row],[Customer_Segment]]="Kurumsal","Corporate"))</f>
        <v>Individual</v>
      </c>
      <c r="L823">
        <v>1</v>
      </c>
    </row>
    <row r="824" spans="1:12" x14ac:dyDescent="0.35">
      <c r="A824">
        <v>823</v>
      </c>
      <c r="B824" t="s">
        <v>16</v>
      </c>
      <c r="C824" t="s">
        <v>17</v>
      </c>
      <c r="D824" t="s">
        <v>10</v>
      </c>
      <c r="E824" t="str">
        <f>IF(logistics_classification_dataset__1[[#This Row],[Shipment_Type]]="Kara","Road",IF(logistics_classification_dataset__1[[#This Row],[Shipment_Type]]="Hava","Air",IF(logistics_classification_dataset__1[[#This Row],[Shipment_Type]]="Deniz","Sea")))</f>
        <v>Road</v>
      </c>
      <c r="F824">
        <v>611.54</v>
      </c>
      <c r="G824" t="str">
        <f t="shared" si="24"/>
        <v>501–1000</v>
      </c>
      <c r="H824" s="1">
        <v>607.5</v>
      </c>
      <c r="I824" t="str">
        <f t="shared" si="25"/>
        <v>501–1000</v>
      </c>
      <c r="J824" t="s">
        <v>11</v>
      </c>
      <c r="K824" t="str">
        <f>IF(logistics_classification_dataset__1[[#This Row],[Customer_Segment]]="Bireysel","Individual",IF(logistics_classification_dataset__1[[#This Row],[Customer_Segment]]="Kurumsal","Corporate"))</f>
        <v>Individual</v>
      </c>
      <c r="L824">
        <v>1</v>
      </c>
    </row>
    <row r="825" spans="1:12" x14ac:dyDescent="0.35">
      <c r="A825">
        <v>824</v>
      </c>
      <c r="B825" t="s">
        <v>21</v>
      </c>
      <c r="C825" t="s">
        <v>17</v>
      </c>
      <c r="D825" t="s">
        <v>10</v>
      </c>
      <c r="E825" t="str">
        <f>IF(logistics_classification_dataset__1[[#This Row],[Shipment_Type]]="Kara","Road",IF(logistics_classification_dataset__1[[#This Row],[Shipment_Type]]="Hava","Air",IF(logistics_classification_dataset__1[[#This Row],[Shipment_Type]]="Deniz","Sea")))</f>
        <v>Road</v>
      </c>
      <c r="F825">
        <v>639.62</v>
      </c>
      <c r="G825" t="str">
        <f t="shared" si="24"/>
        <v>501–1000</v>
      </c>
      <c r="H825" s="1">
        <v>1361.2</v>
      </c>
      <c r="I825" t="str">
        <f t="shared" si="25"/>
        <v>1001–1500</v>
      </c>
      <c r="J825" t="s">
        <v>11</v>
      </c>
      <c r="K825" t="str">
        <f>IF(logistics_classification_dataset__1[[#This Row],[Customer_Segment]]="Bireysel","Individual",IF(logistics_classification_dataset__1[[#This Row],[Customer_Segment]]="Kurumsal","Corporate"))</f>
        <v>Individual</v>
      </c>
      <c r="L825">
        <v>1</v>
      </c>
    </row>
    <row r="826" spans="1:12" x14ac:dyDescent="0.35">
      <c r="A826">
        <v>825</v>
      </c>
      <c r="B826" t="s">
        <v>12</v>
      </c>
      <c r="C826" t="s">
        <v>22</v>
      </c>
      <c r="D826" t="s">
        <v>19</v>
      </c>
      <c r="E826" t="str">
        <f>IF(logistics_classification_dataset__1[[#This Row],[Shipment_Type]]="Kara","Road",IF(logistics_classification_dataset__1[[#This Row],[Shipment_Type]]="Hava","Air",IF(logistics_classification_dataset__1[[#This Row],[Shipment_Type]]="Deniz","Sea")))</f>
        <v>Sea</v>
      </c>
      <c r="F826">
        <v>1922.51</v>
      </c>
      <c r="G826" t="str">
        <f t="shared" si="24"/>
        <v>1501–2000</v>
      </c>
      <c r="H826" s="1">
        <v>381.3</v>
      </c>
      <c r="I826" t="str">
        <f t="shared" si="25"/>
        <v>0–500</v>
      </c>
      <c r="J826" t="s">
        <v>11</v>
      </c>
      <c r="K826" t="str">
        <f>IF(logistics_classification_dataset__1[[#This Row],[Customer_Segment]]="Bireysel","Individual",IF(logistics_classification_dataset__1[[#This Row],[Customer_Segment]]="Kurumsal","Corporate"))</f>
        <v>Individual</v>
      </c>
      <c r="L826">
        <v>1</v>
      </c>
    </row>
    <row r="827" spans="1:12" x14ac:dyDescent="0.35">
      <c r="A827">
        <v>826</v>
      </c>
      <c r="B827" t="s">
        <v>17</v>
      </c>
      <c r="C827" t="s">
        <v>22</v>
      </c>
      <c r="D827" t="s">
        <v>10</v>
      </c>
      <c r="E827" t="str">
        <f>IF(logistics_classification_dataset__1[[#This Row],[Shipment_Type]]="Kara","Road",IF(logistics_classification_dataset__1[[#This Row],[Shipment_Type]]="Hava","Air",IF(logistics_classification_dataset__1[[#This Row],[Shipment_Type]]="Deniz","Sea")))</f>
        <v>Road</v>
      </c>
      <c r="F827">
        <v>1783.96</v>
      </c>
      <c r="G827" t="str">
        <f t="shared" si="24"/>
        <v>1501–2000</v>
      </c>
      <c r="H827" s="1">
        <v>158.1</v>
      </c>
      <c r="I827" t="str">
        <f t="shared" si="25"/>
        <v>0–500</v>
      </c>
      <c r="J827" t="s">
        <v>11</v>
      </c>
      <c r="K827" t="str">
        <f>IF(logistics_classification_dataset__1[[#This Row],[Customer_Segment]]="Bireysel","Individual",IF(logistics_classification_dataset__1[[#This Row],[Customer_Segment]]="Kurumsal","Corporate"))</f>
        <v>Individual</v>
      </c>
      <c r="L827">
        <v>1</v>
      </c>
    </row>
    <row r="828" spans="1:12" x14ac:dyDescent="0.35">
      <c r="A828">
        <v>827</v>
      </c>
      <c r="B828" t="s">
        <v>22</v>
      </c>
      <c r="C828" t="s">
        <v>9</v>
      </c>
      <c r="D828" t="s">
        <v>19</v>
      </c>
      <c r="E828" t="str">
        <f>IF(logistics_classification_dataset__1[[#This Row],[Shipment_Type]]="Kara","Road",IF(logistics_classification_dataset__1[[#This Row],[Shipment_Type]]="Hava","Air",IF(logistics_classification_dataset__1[[#This Row],[Shipment_Type]]="Deniz","Sea")))</f>
        <v>Sea</v>
      </c>
      <c r="F828">
        <v>1699.11</v>
      </c>
      <c r="G828" t="str">
        <f t="shared" si="24"/>
        <v>1501–2000</v>
      </c>
      <c r="H828" s="1">
        <v>695.7</v>
      </c>
      <c r="I828" t="str">
        <f t="shared" si="25"/>
        <v>501–1000</v>
      </c>
      <c r="J828" t="s">
        <v>11</v>
      </c>
      <c r="K828" t="str">
        <f>IF(logistics_classification_dataset__1[[#This Row],[Customer_Segment]]="Bireysel","Individual",IF(logistics_classification_dataset__1[[#This Row],[Customer_Segment]]="Kurumsal","Corporate"))</f>
        <v>Individual</v>
      </c>
      <c r="L828">
        <v>1</v>
      </c>
    </row>
    <row r="829" spans="1:12" x14ac:dyDescent="0.35">
      <c r="A829">
        <v>828</v>
      </c>
      <c r="B829" t="s">
        <v>13</v>
      </c>
      <c r="C829" t="s">
        <v>17</v>
      </c>
      <c r="D829" t="s">
        <v>10</v>
      </c>
      <c r="E829" t="str">
        <f>IF(logistics_classification_dataset__1[[#This Row],[Shipment_Type]]="Kara","Road",IF(logistics_classification_dataset__1[[#This Row],[Shipment_Type]]="Hava","Air",IF(logistics_classification_dataset__1[[#This Row],[Shipment_Type]]="Deniz","Sea")))</f>
        <v>Road</v>
      </c>
      <c r="F829">
        <v>814.99</v>
      </c>
      <c r="G829" t="str">
        <f t="shared" si="24"/>
        <v>501–1000</v>
      </c>
      <c r="H829" s="1">
        <v>1543.6</v>
      </c>
      <c r="I829" t="str">
        <f t="shared" si="25"/>
        <v>1501–2000</v>
      </c>
      <c r="J829" t="s">
        <v>14</v>
      </c>
      <c r="K829" t="str">
        <f>IF(logistics_classification_dataset__1[[#This Row],[Customer_Segment]]="Bireysel","Individual",IF(logistics_classification_dataset__1[[#This Row],[Customer_Segment]]="Kurumsal","Corporate"))</f>
        <v>Corporate</v>
      </c>
      <c r="L829">
        <v>1</v>
      </c>
    </row>
    <row r="830" spans="1:12" x14ac:dyDescent="0.35">
      <c r="A830">
        <v>829</v>
      </c>
      <c r="B830" t="s">
        <v>21</v>
      </c>
      <c r="C830" t="s">
        <v>13</v>
      </c>
      <c r="D830" t="s">
        <v>10</v>
      </c>
      <c r="E830" t="str">
        <f>IF(logistics_classification_dataset__1[[#This Row],[Shipment_Type]]="Kara","Road",IF(logistics_classification_dataset__1[[#This Row],[Shipment_Type]]="Hava","Air",IF(logistics_classification_dataset__1[[#This Row],[Shipment_Type]]="Deniz","Sea")))</f>
        <v>Road</v>
      </c>
      <c r="F830">
        <v>32.33</v>
      </c>
      <c r="G830" t="str">
        <f t="shared" si="24"/>
        <v>0–500</v>
      </c>
      <c r="H830" s="1">
        <v>856.7</v>
      </c>
      <c r="I830" t="str">
        <f t="shared" si="25"/>
        <v>501–1000</v>
      </c>
      <c r="J830" t="s">
        <v>11</v>
      </c>
      <c r="K830" t="str">
        <f>IF(logistics_classification_dataset__1[[#This Row],[Customer_Segment]]="Bireysel","Individual",IF(logistics_classification_dataset__1[[#This Row],[Customer_Segment]]="Kurumsal","Corporate"))</f>
        <v>Individual</v>
      </c>
      <c r="L830">
        <v>0</v>
      </c>
    </row>
    <row r="831" spans="1:12" x14ac:dyDescent="0.35">
      <c r="A831">
        <v>830</v>
      </c>
      <c r="B831" t="s">
        <v>16</v>
      </c>
      <c r="C831" t="s">
        <v>13</v>
      </c>
      <c r="D831" t="s">
        <v>10</v>
      </c>
      <c r="E831" t="str">
        <f>IF(logistics_classification_dataset__1[[#This Row],[Shipment_Type]]="Kara","Road",IF(logistics_classification_dataset__1[[#This Row],[Shipment_Type]]="Hava","Air",IF(logistics_classification_dataset__1[[#This Row],[Shipment_Type]]="Deniz","Sea")))</f>
        <v>Road</v>
      </c>
      <c r="F831">
        <v>165.04</v>
      </c>
      <c r="G831" t="str">
        <f t="shared" si="24"/>
        <v>0–500</v>
      </c>
      <c r="H831" s="1">
        <v>1323.3</v>
      </c>
      <c r="I831" t="str">
        <f t="shared" si="25"/>
        <v>1001–1500</v>
      </c>
      <c r="J831" t="s">
        <v>14</v>
      </c>
      <c r="K831" t="str">
        <f>IF(logistics_classification_dataset__1[[#This Row],[Customer_Segment]]="Bireysel","Individual",IF(logistics_classification_dataset__1[[#This Row],[Customer_Segment]]="Kurumsal","Corporate"))</f>
        <v>Corporate</v>
      </c>
      <c r="L831">
        <v>1</v>
      </c>
    </row>
    <row r="832" spans="1:12" x14ac:dyDescent="0.35">
      <c r="A832">
        <v>831</v>
      </c>
      <c r="B832" t="s">
        <v>20</v>
      </c>
      <c r="C832" t="s">
        <v>9</v>
      </c>
      <c r="D832" t="s">
        <v>10</v>
      </c>
      <c r="E832" t="str">
        <f>IF(logistics_classification_dataset__1[[#This Row],[Shipment_Type]]="Kara","Road",IF(logistics_classification_dataset__1[[#This Row],[Shipment_Type]]="Hava","Air",IF(logistics_classification_dataset__1[[#This Row],[Shipment_Type]]="Deniz","Sea")))</f>
        <v>Road</v>
      </c>
      <c r="F832">
        <v>627.83000000000004</v>
      </c>
      <c r="G832" t="str">
        <f t="shared" si="24"/>
        <v>501–1000</v>
      </c>
      <c r="H832" s="1">
        <v>1180.3</v>
      </c>
      <c r="I832" t="str">
        <f t="shared" si="25"/>
        <v>1001–1500</v>
      </c>
      <c r="J832" t="s">
        <v>11</v>
      </c>
      <c r="K832" t="str">
        <f>IF(logistics_classification_dataset__1[[#This Row],[Customer_Segment]]="Bireysel","Individual",IF(logistics_classification_dataset__1[[#This Row],[Customer_Segment]]="Kurumsal","Corporate"))</f>
        <v>Individual</v>
      </c>
      <c r="L832">
        <v>1</v>
      </c>
    </row>
    <row r="833" spans="1:12" x14ac:dyDescent="0.35">
      <c r="A833">
        <v>832</v>
      </c>
      <c r="B833" t="s">
        <v>9</v>
      </c>
      <c r="C833" t="s">
        <v>13</v>
      </c>
      <c r="D833" t="s">
        <v>19</v>
      </c>
      <c r="E833" t="str">
        <f>IF(logistics_classification_dataset__1[[#This Row],[Shipment_Type]]="Kara","Road",IF(logistics_classification_dataset__1[[#This Row],[Shipment_Type]]="Hava","Air",IF(logistics_classification_dataset__1[[#This Row],[Shipment_Type]]="Deniz","Sea")))</f>
        <v>Sea</v>
      </c>
      <c r="F833">
        <v>36.409999999999997</v>
      </c>
      <c r="G833" t="str">
        <f t="shared" si="24"/>
        <v>0–500</v>
      </c>
      <c r="H833" s="1">
        <v>93.3</v>
      </c>
      <c r="I833" t="str">
        <f t="shared" si="25"/>
        <v>0–500</v>
      </c>
      <c r="J833" t="s">
        <v>14</v>
      </c>
      <c r="K833" t="str">
        <f>IF(logistics_classification_dataset__1[[#This Row],[Customer_Segment]]="Bireysel","Individual",IF(logistics_classification_dataset__1[[#This Row],[Customer_Segment]]="Kurumsal","Corporate"))</f>
        <v>Corporate</v>
      </c>
      <c r="L833">
        <v>1</v>
      </c>
    </row>
    <row r="834" spans="1:12" x14ac:dyDescent="0.35">
      <c r="A834">
        <v>833</v>
      </c>
      <c r="B834" t="s">
        <v>16</v>
      </c>
      <c r="C834" t="s">
        <v>20</v>
      </c>
      <c r="D834" t="s">
        <v>10</v>
      </c>
      <c r="E834" t="str">
        <f>IF(logistics_classification_dataset__1[[#This Row],[Shipment_Type]]="Kara","Road",IF(logistics_classification_dataset__1[[#This Row],[Shipment_Type]]="Hava","Air",IF(logistics_classification_dataset__1[[#This Row],[Shipment_Type]]="Deniz","Sea")))</f>
        <v>Road</v>
      </c>
      <c r="F834">
        <v>39.21</v>
      </c>
      <c r="G834" t="str">
        <f t="shared" ref="G834:G897" si="26">IF(F834&lt;=500,"0–500",IF(F834&lt;=1000,"501–1000",IF(F834&lt;=1500,"1001–1500","1501–2000")))</f>
        <v>0–500</v>
      </c>
      <c r="H834" s="1">
        <v>1977.7</v>
      </c>
      <c r="I834" t="str">
        <f t="shared" ref="I834:I897" si="27">IF(H834&lt;=500,"0–500",IF(H834&lt;=1000,"501–1000",IF(H834&lt;=1500,"1001–1500",IF(H834&lt;=2000,"1501–2000","&gt;2000"))))</f>
        <v>1501–2000</v>
      </c>
      <c r="J834" t="s">
        <v>14</v>
      </c>
      <c r="K834" t="str">
        <f>IF(logistics_classification_dataset__1[[#This Row],[Customer_Segment]]="Bireysel","Individual",IF(logistics_classification_dataset__1[[#This Row],[Customer_Segment]]="Kurumsal","Corporate"))</f>
        <v>Corporate</v>
      </c>
      <c r="L834">
        <v>1</v>
      </c>
    </row>
    <row r="835" spans="1:12" x14ac:dyDescent="0.35">
      <c r="A835">
        <v>834</v>
      </c>
      <c r="B835" t="s">
        <v>21</v>
      </c>
      <c r="C835" t="s">
        <v>12</v>
      </c>
      <c r="D835" t="s">
        <v>10</v>
      </c>
      <c r="E835" t="str">
        <f>IF(logistics_classification_dataset__1[[#This Row],[Shipment_Type]]="Kara","Road",IF(logistics_classification_dataset__1[[#This Row],[Shipment_Type]]="Hava","Air",IF(logistics_classification_dataset__1[[#This Row],[Shipment_Type]]="Deniz","Sea")))</f>
        <v>Road</v>
      </c>
      <c r="F835">
        <v>1833.62</v>
      </c>
      <c r="G835" t="str">
        <f t="shared" si="26"/>
        <v>1501–2000</v>
      </c>
      <c r="H835" s="1">
        <v>130.80000000000001</v>
      </c>
      <c r="I835" t="str">
        <f t="shared" si="27"/>
        <v>0–500</v>
      </c>
      <c r="J835" t="s">
        <v>11</v>
      </c>
      <c r="K835" t="str">
        <f>IF(logistics_classification_dataset__1[[#This Row],[Customer_Segment]]="Bireysel","Individual",IF(logistics_classification_dataset__1[[#This Row],[Customer_Segment]]="Kurumsal","Corporate"))</f>
        <v>Individual</v>
      </c>
      <c r="L835">
        <v>0</v>
      </c>
    </row>
    <row r="836" spans="1:12" x14ac:dyDescent="0.35">
      <c r="A836">
        <v>835</v>
      </c>
      <c r="B836" t="s">
        <v>16</v>
      </c>
      <c r="C836" t="s">
        <v>9</v>
      </c>
      <c r="D836" t="s">
        <v>10</v>
      </c>
      <c r="E836" t="str">
        <f>IF(logistics_classification_dataset__1[[#This Row],[Shipment_Type]]="Kara","Road",IF(logistics_classification_dataset__1[[#This Row],[Shipment_Type]]="Hava","Air",IF(logistics_classification_dataset__1[[#This Row],[Shipment_Type]]="Deniz","Sea")))</f>
        <v>Road</v>
      </c>
      <c r="F836">
        <v>1413.79</v>
      </c>
      <c r="G836" t="str">
        <f t="shared" si="26"/>
        <v>1001–1500</v>
      </c>
      <c r="H836" s="1">
        <v>1937.2</v>
      </c>
      <c r="I836" t="str">
        <f t="shared" si="27"/>
        <v>1501–2000</v>
      </c>
      <c r="J836" t="s">
        <v>14</v>
      </c>
      <c r="K836" t="str">
        <f>IF(logistics_classification_dataset__1[[#This Row],[Customer_Segment]]="Bireysel","Individual",IF(logistics_classification_dataset__1[[#This Row],[Customer_Segment]]="Kurumsal","Corporate"))</f>
        <v>Corporate</v>
      </c>
      <c r="L836">
        <v>1</v>
      </c>
    </row>
    <row r="837" spans="1:12" x14ac:dyDescent="0.35">
      <c r="A837">
        <v>836</v>
      </c>
      <c r="B837" t="s">
        <v>21</v>
      </c>
      <c r="C837" t="s">
        <v>9</v>
      </c>
      <c r="D837" t="s">
        <v>10</v>
      </c>
      <c r="E837" t="str">
        <f>IF(logistics_classification_dataset__1[[#This Row],[Shipment_Type]]="Kara","Road",IF(logistics_classification_dataset__1[[#This Row],[Shipment_Type]]="Hava","Air",IF(logistics_classification_dataset__1[[#This Row],[Shipment_Type]]="Deniz","Sea")))</f>
        <v>Road</v>
      </c>
      <c r="F837">
        <v>621.37</v>
      </c>
      <c r="G837" t="str">
        <f t="shared" si="26"/>
        <v>501–1000</v>
      </c>
      <c r="H837" s="1">
        <v>1122.2</v>
      </c>
      <c r="I837" t="str">
        <f t="shared" si="27"/>
        <v>1001–1500</v>
      </c>
      <c r="J837" t="s">
        <v>11</v>
      </c>
      <c r="K837" t="str">
        <f>IF(logistics_classification_dataset__1[[#This Row],[Customer_Segment]]="Bireysel","Individual",IF(logistics_classification_dataset__1[[#This Row],[Customer_Segment]]="Kurumsal","Corporate"))</f>
        <v>Individual</v>
      </c>
      <c r="L837">
        <v>1</v>
      </c>
    </row>
    <row r="838" spans="1:12" x14ac:dyDescent="0.35">
      <c r="A838">
        <v>837</v>
      </c>
      <c r="B838" t="s">
        <v>21</v>
      </c>
      <c r="C838" t="s">
        <v>18</v>
      </c>
      <c r="D838" t="s">
        <v>10</v>
      </c>
      <c r="E838" t="str">
        <f>IF(logistics_classification_dataset__1[[#This Row],[Shipment_Type]]="Kara","Road",IF(logistics_classification_dataset__1[[#This Row],[Shipment_Type]]="Hava","Air",IF(logistics_classification_dataset__1[[#This Row],[Shipment_Type]]="Deniz","Sea")))</f>
        <v>Road</v>
      </c>
      <c r="F838">
        <v>269.63</v>
      </c>
      <c r="G838" t="str">
        <f t="shared" si="26"/>
        <v>0–500</v>
      </c>
      <c r="H838" s="1">
        <v>1928.2</v>
      </c>
      <c r="I838" t="str">
        <f t="shared" si="27"/>
        <v>1501–2000</v>
      </c>
      <c r="J838" t="s">
        <v>14</v>
      </c>
      <c r="K838" t="str">
        <f>IF(logistics_classification_dataset__1[[#This Row],[Customer_Segment]]="Bireysel","Individual",IF(logistics_classification_dataset__1[[#This Row],[Customer_Segment]]="Kurumsal","Corporate"))</f>
        <v>Corporate</v>
      </c>
      <c r="L838">
        <v>1</v>
      </c>
    </row>
    <row r="839" spans="1:12" x14ac:dyDescent="0.35">
      <c r="A839">
        <v>838</v>
      </c>
      <c r="B839" t="s">
        <v>8</v>
      </c>
      <c r="C839" t="s">
        <v>16</v>
      </c>
      <c r="D839" t="s">
        <v>10</v>
      </c>
      <c r="E839" t="str">
        <f>IF(logistics_classification_dataset__1[[#This Row],[Shipment_Type]]="Kara","Road",IF(logistics_classification_dataset__1[[#This Row],[Shipment_Type]]="Hava","Air",IF(logistics_classification_dataset__1[[#This Row],[Shipment_Type]]="Deniz","Sea")))</f>
        <v>Road</v>
      </c>
      <c r="F839">
        <v>1025.71</v>
      </c>
      <c r="G839" t="str">
        <f t="shared" si="26"/>
        <v>1001–1500</v>
      </c>
      <c r="H839" s="1">
        <v>273.8</v>
      </c>
      <c r="I839" t="str">
        <f t="shared" si="27"/>
        <v>0–500</v>
      </c>
      <c r="J839" t="s">
        <v>11</v>
      </c>
      <c r="K839" t="str">
        <f>IF(logistics_classification_dataset__1[[#This Row],[Customer_Segment]]="Bireysel","Individual",IF(logistics_classification_dataset__1[[#This Row],[Customer_Segment]]="Kurumsal","Corporate"))</f>
        <v>Individual</v>
      </c>
      <c r="L839">
        <v>1</v>
      </c>
    </row>
    <row r="840" spans="1:12" x14ac:dyDescent="0.35">
      <c r="A840">
        <v>839</v>
      </c>
      <c r="B840" t="s">
        <v>12</v>
      </c>
      <c r="C840" t="s">
        <v>16</v>
      </c>
      <c r="D840" t="s">
        <v>15</v>
      </c>
      <c r="E840" t="str">
        <f>IF(logistics_classification_dataset__1[[#This Row],[Shipment_Type]]="Kara","Road",IF(logistics_classification_dataset__1[[#This Row],[Shipment_Type]]="Hava","Air",IF(logistics_classification_dataset__1[[#This Row],[Shipment_Type]]="Deniz","Sea")))</f>
        <v>Air</v>
      </c>
      <c r="F840">
        <v>15.67</v>
      </c>
      <c r="G840" t="str">
        <f t="shared" si="26"/>
        <v>0–500</v>
      </c>
      <c r="H840" s="1">
        <v>1006.3</v>
      </c>
      <c r="I840" t="str">
        <f t="shared" si="27"/>
        <v>1001–1500</v>
      </c>
      <c r="J840" t="s">
        <v>11</v>
      </c>
      <c r="K840" t="str">
        <f>IF(logistics_classification_dataset__1[[#This Row],[Customer_Segment]]="Bireysel","Individual",IF(logistics_classification_dataset__1[[#This Row],[Customer_Segment]]="Kurumsal","Corporate"))</f>
        <v>Individual</v>
      </c>
      <c r="L840">
        <v>1</v>
      </c>
    </row>
    <row r="841" spans="1:12" x14ac:dyDescent="0.35">
      <c r="A841">
        <v>840</v>
      </c>
      <c r="B841" t="s">
        <v>13</v>
      </c>
      <c r="C841" t="s">
        <v>20</v>
      </c>
      <c r="D841" t="s">
        <v>10</v>
      </c>
      <c r="E841" t="str">
        <f>IF(logistics_classification_dataset__1[[#This Row],[Shipment_Type]]="Kara","Road",IF(logistics_classification_dataset__1[[#This Row],[Shipment_Type]]="Hava","Air",IF(logistics_classification_dataset__1[[#This Row],[Shipment_Type]]="Deniz","Sea")))</f>
        <v>Road</v>
      </c>
      <c r="F841">
        <v>1877.14</v>
      </c>
      <c r="G841" t="str">
        <f t="shared" si="26"/>
        <v>1501–2000</v>
      </c>
      <c r="H841" s="1">
        <v>380.5</v>
      </c>
      <c r="I841" t="str">
        <f t="shared" si="27"/>
        <v>0–500</v>
      </c>
      <c r="J841" t="s">
        <v>14</v>
      </c>
      <c r="K841" t="str">
        <f>IF(logistics_classification_dataset__1[[#This Row],[Customer_Segment]]="Bireysel","Individual",IF(logistics_classification_dataset__1[[#This Row],[Customer_Segment]]="Kurumsal","Corporate"))</f>
        <v>Corporate</v>
      </c>
      <c r="L841">
        <v>1</v>
      </c>
    </row>
    <row r="842" spans="1:12" x14ac:dyDescent="0.35">
      <c r="A842">
        <v>841</v>
      </c>
      <c r="B842" t="s">
        <v>8</v>
      </c>
      <c r="C842" t="s">
        <v>17</v>
      </c>
      <c r="D842" t="s">
        <v>10</v>
      </c>
      <c r="E842" t="str">
        <f>IF(logistics_classification_dataset__1[[#This Row],[Shipment_Type]]="Kara","Road",IF(logistics_classification_dataset__1[[#This Row],[Shipment_Type]]="Hava","Air",IF(logistics_classification_dataset__1[[#This Row],[Shipment_Type]]="Deniz","Sea")))</f>
        <v>Road</v>
      </c>
      <c r="F842">
        <v>832.56</v>
      </c>
      <c r="G842" t="str">
        <f t="shared" si="26"/>
        <v>501–1000</v>
      </c>
      <c r="H842" s="1">
        <v>149.4</v>
      </c>
      <c r="I842" t="str">
        <f t="shared" si="27"/>
        <v>0–500</v>
      </c>
      <c r="J842" t="s">
        <v>11</v>
      </c>
      <c r="K842" t="str">
        <f>IF(logistics_classification_dataset__1[[#This Row],[Customer_Segment]]="Bireysel","Individual",IF(logistics_classification_dataset__1[[#This Row],[Customer_Segment]]="Kurumsal","Corporate"))</f>
        <v>Individual</v>
      </c>
      <c r="L842">
        <v>1</v>
      </c>
    </row>
    <row r="843" spans="1:12" x14ac:dyDescent="0.35">
      <c r="A843">
        <v>842</v>
      </c>
      <c r="B843" t="s">
        <v>20</v>
      </c>
      <c r="C843" t="s">
        <v>22</v>
      </c>
      <c r="D843" t="s">
        <v>10</v>
      </c>
      <c r="E843" t="str">
        <f>IF(logistics_classification_dataset__1[[#This Row],[Shipment_Type]]="Kara","Road",IF(logistics_classification_dataset__1[[#This Row],[Shipment_Type]]="Hava","Air",IF(logistics_classification_dataset__1[[#This Row],[Shipment_Type]]="Deniz","Sea")))</f>
        <v>Road</v>
      </c>
      <c r="F843">
        <v>807.66</v>
      </c>
      <c r="G843" t="str">
        <f t="shared" si="26"/>
        <v>501–1000</v>
      </c>
      <c r="H843" s="1">
        <v>1254.2</v>
      </c>
      <c r="I843" t="str">
        <f t="shared" si="27"/>
        <v>1001–1500</v>
      </c>
      <c r="J843" t="s">
        <v>11</v>
      </c>
      <c r="K843" t="str">
        <f>IF(logistics_classification_dataset__1[[#This Row],[Customer_Segment]]="Bireysel","Individual",IF(logistics_classification_dataset__1[[#This Row],[Customer_Segment]]="Kurumsal","Corporate"))</f>
        <v>Individual</v>
      </c>
      <c r="L843">
        <v>1</v>
      </c>
    </row>
    <row r="844" spans="1:12" x14ac:dyDescent="0.35">
      <c r="A844">
        <v>843</v>
      </c>
      <c r="B844" t="s">
        <v>8</v>
      </c>
      <c r="C844" t="s">
        <v>22</v>
      </c>
      <c r="D844" t="s">
        <v>10</v>
      </c>
      <c r="E844" t="str">
        <f>IF(logistics_classification_dataset__1[[#This Row],[Shipment_Type]]="Kara","Road",IF(logistics_classification_dataset__1[[#This Row],[Shipment_Type]]="Hava","Air",IF(logistics_classification_dataset__1[[#This Row],[Shipment_Type]]="Deniz","Sea")))</f>
        <v>Road</v>
      </c>
      <c r="F844">
        <v>784.23</v>
      </c>
      <c r="G844" t="str">
        <f t="shared" si="26"/>
        <v>501–1000</v>
      </c>
      <c r="H844" s="1">
        <v>455.2</v>
      </c>
      <c r="I844" t="str">
        <f t="shared" si="27"/>
        <v>0–500</v>
      </c>
      <c r="J844" t="s">
        <v>14</v>
      </c>
      <c r="K844" t="str">
        <f>IF(logistics_classification_dataset__1[[#This Row],[Customer_Segment]]="Bireysel","Individual",IF(logistics_classification_dataset__1[[#This Row],[Customer_Segment]]="Kurumsal","Corporate"))</f>
        <v>Corporate</v>
      </c>
      <c r="L844">
        <v>1</v>
      </c>
    </row>
    <row r="845" spans="1:12" x14ac:dyDescent="0.35">
      <c r="A845">
        <v>844</v>
      </c>
      <c r="B845" t="s">
        <v>18</v>
      </c>
      <c r="C845" t="s">
        <v>21</v>
      </c>
      <c r="D845" t="s">
        <v>19</v>
      </c>
      <c r="E845" t="str">
        <f>IF(logistics_classification_dataset__1[[#This Row],[Shipment_Type]]="Kara","Road",IF(logistics_classification_dataset__1[[#This Row],[Shipment_Type]]="Hava","Air",IF(logistics_classification_dataset__1[[#This Row],[Shipment_Type]]="Deniz","Sea")))</f>
        <v>Sea</v>
      </c>
      <c r="F845">
        <v>143.31</v>
      </c>
      <c r="G845" t="str">
        <f t="shared" si="26"/>
        <v>0–500</v>
      </c>
      <c r="H845" s="1">
        <v>1196</v>
      </c>
      <c r="I845" t="str">
        <f t="shared" si="27"/>
        <v>1001–1500</v>
      </c>
      <c r="J845" t="s">
        <v>11</v>
      </c>
      <c r="K845" t="str">
        <f>IF(logistics_classification_dataset__1[[#This Row],[Customer_Segment]]="Bireysel","Individual",IF(logistics_classification_dataset__1[[#This Row],[Customer_Segment]]="Kurumsal","Corporate"))</f>
        <v>Individual</v>
      </c>
      <c r="L845">
        <v>1</v>
      </c>
    </row>
    <row r="846" spans="1:12" x14ac:dyDescent="0.35">
      <c r="A846">
        <v>845</v>
      </c>
      <c r="B846" t="s">
        <v>18</v>
      </c>
      <c r="C846" t="s">
        <v>20</v>
      </c>
      <c r="D846" t="s">
        <v>10</v>
      </c>
      <c r="E846" t="str">
        <f>IF(logistics_classification_dataset__1[[#This Row],[Shipment_Type]]="Kara","Road",IF(logistics_classification_dataset__1[[#This Row],[Shipment_Type]]="Hava","Air",IF(logistics_classification_dataset__1[[#This Row],[Shipment_Type]]="Deniz","Sea")))</f>
        <v>Road</v>
      </c>
      <c r="F846">
        <v>1278.45</v>
      </c>
      <c r="G846" t="str">
        <f t="shared" si="26"/>
        <v>1001–1500</v>
      </c>
      <c r="H846" s="1">
        <v>269.10000000000002</v>
      </c>
      <c r="I846" t="str">
        <f t="shared" si="27"/>
        <v>0–500</v>
      </c>
      <c r="J846" t="s">
        <v>11</v>
      </c>
      <c r="K846" t="str">
        <f>IF(logistics_classification_dataset__1[[#This Row],[Customer_Segment]]="Bireysel","Individual",IF(logistics_classification_dataset__1[[#This Row],[Customer_Segment]]="Kurumsal","Corporate"))</f>
        <v>Individual</v>
      </c>
      <c r="L846">
        <v>1</v>
      </c>
    </row>
    <row r="847" spans="1:12" x14ac:dyDescent="0.35">
      <c r="A847">
        <v>846</v>
      </c>
      <c r="B847" t="s">
        <v>13</v>
      </c>
      <c r="C847" t="s">
        <v>9</v>
      </c>
      <c r="D847" t="s">
        <v>10</v>
      </c>
      <c r="E847" t="str">
        <f>IF(logistics_classification_dataset__1[[#This Row],[Shipment_Type]]="Kara","Road",IF(logistics_classification_dataset__1[[#This Row],[Shipment_Type]]="Hava","Air",IF(logistics_classification_dataset__1[[#This Row],[Shipment_Type]]="Deniz","Sea")))</f>
        <v>Road</v>
      </c>
      <c r="F847">
        <v>1467.34</v>
      </c>
      <c r="G847" t="str">
        <f t="shared" si="26"/>
        <v>1001–1500</v>
      </c>
      <c r="H847" s="1">
        <v>697.4</v>
      </c>
      <c r="I847" t="str">
        <f t="shared" si="27"/>
        <v>501–1000</v>
      </c>
      <c r="J847" t="s">
        <v>11</v>
      </c>
      <c r="K847" t="str">
        <f>IF(logistics_classification_dataset__1[[#This Row],[Customer_Segment]]="Bireysel","Individual",IF(logistics_classification_dataset__1[[#This Row],[Customer_Segment]]="Kurumsal","Corporate"))</f>
        <v>Individual</v>
      </c>
      <c r="L847">
        <v>1</v>
      </c>
    </row>
    <row r="848" spans="1:12" x14ac:dyDescent="0.35">
      <c r="A848">
        <v>847</v>
      </c>
      <c r="B848" t="s">
        <v>16</v>
      </c>
      <c r="C848" t="s">
        <v>20</v>
      </c>
      <c r="D848" t="s">
        <v>15</v>
      </c>
      <c r="E848" t="str">
        <f>IF(logistics_classification_dataset__1[[#This Row],[Shipment_Type]]="Kara","Road",IF(logistics_classification_dataset__1[[#This Row],[Shipment_Type]]="Hava","Air",IF(logistics_classification_dataset__1[[#This Row],[Shipment_Type]]="Deniz","Sea")))</f>
        <v>Air</v>
      </c>
      <c r="F848">
        <v>1353.87</v>
      </c>
      <c r="G848" t="str">
        <f t="shared" si="26"/>
        <v>1001–1500</v>
      </c>
      <c r="H848" s="1">
        <v>1574.2</v>
      </c>
      <c r="I848" t="str">
        <f t="shared" si="27"/>
        <v>1501–2000</v>
      </c>
      <c r="J848" t="s">
        <v>11</v>
      </c>
      <c r="K848" t="str">
        <f>IF(logistics_classification_dataset__1[[#This Row],[Customer_Segment]]="Bireysel","Individual",IF(logistics_classification_dataset__1[[#This Row],[Customer_Segment]]="Kurumsal","Corporate"))</f>
        <v>Individual</v>
      </c>
      <c r="L848">
        <v>1</v>
      </c>
    </row>
    <row r="849" spans="1:12" x14ac:dyDescent="0.35">
      <c r="A849">
        <v>848</v>
      </c>
      <c r="B849" t="s">
        <v>12</v>
      </c>
      <c r="C849" t="s">
        <v>20</v>
      </c>
      <c r="D849" t="s">
        <v>10</v>
      </c>
      <c r="E849" t="str">
        <f>IF(logistics_classification_dataset__1[[#This Row],[Shipment_Type]]="Kara","Road",IF(logistics_classification_dataset__1[[#This Row],[Shipment_Type]]="Hava","Air",IF(logistics_classification_dataset__1[[#This Row],[Shipment_Type]]="Deniz","Sea")))</f>
        <v>Road</v>
      </c>
      <c r="F849">
        <v>281.18</v>
      </c>
      <c r="G849" t="str">
        <f t="shared" si="26"/>
        <v>0–500</v>
      </c>
      <c r="H849" s="1">
        <v>902.3</v>
      </c>
      <c r="I849" t="str">
        <f t="shared" si="27"/>
        <v>501–1000</v>
      </c>
      <c r="J849" t="s">
        <v>14</v>
      </c>
      <c r="K849" t="str">
        <f>IF(logistics_classification_dataset__1[[#This Row],[Customer_Segment]]="Bireysel","Individual",IF(logistics_classification_dataset__1[[#This Row],[Customer_Segment]]="Kurumsal","Corporate"))</f>
        <v>Corporate</v>
      </c>
      <c r="L849">
        <v>1</v>
      </c>
    </row>
    <row r="850" spans="1:12" x14ac:dyDescent="0.35">
      <c r="A850">
        <v>849</v>
      </c>
      <c r="B850" t="s">
        <v>13</v>
      </c>
      <c r="C850" t="s">
        <v>20</v>
      </c>
      <c r="D850" t="s">
        <v>10</v>
      </c>
      <c r="E850" t="str">
        <f>IF(logistics_classification_dataset__1[[#This Row],[Shipment_Type]]="Kara","Road",IF(logistics_classification_dataset__1[[#This Row],[Shipment_Type]]="Hava","Air",IF(logistics_classification_dataset__1[[#This Row],[Shipment_Type]]="Deniz","Sea")))</f>
        <v>Road</v>
      </c>
      <c r="F850">
        <v>1159.79</v>
      </c>
      <c r="G850" t="str">
        <f t="shared" si="26"/>
        <v>1001–1500</v>
      </c>
      <c r="H850" s="1">
        <v>1274.0999999999999</v>
      </c>
      <c r="I850" t="str">
        <f t="shared" si="27"/>
        <v>1001–1500</v>
      </c>
      <c r="J850" t="s">
        <v>11</v>
      </c>
      <c r="K850" t="str">
        <f>IF(logistics_classification_dataset__1[[#This Row],[Customer_Segment]]="Bireysel","Individual",IF(logistics_classification_dataset__1[[#This Row],[Customer_Segment]]="Kurumsal","Corporate"))</f>
        <v>Individual</v>
      </c>
      <c r="L850">
        <v>1</v>
      </c>
    </row>
    <row r="851" spans="1:12" x14ac:dyDescent="0.35">
      <c r="A851">
        <v>850</v>
      </c>
      <c r="B851" t="s">
        <v>21</v>
      </c>
      <c r="C851" t="s">
        <v>16</v>
      </c>
      <c r="D851" t="s">
        <v>19</v>
      </c>
      <c r="E851" t="str">
        <f>IF(logistics_classification_dataset__1[[#This Row],[Shipment_Type]]="Kara","Road",IF(logistics_classification_dataset__1[[#This Row],[Shipment_Type]]="Hava","Air",IF(logistics_classification_dataset__1[[#This Row],[Shipment_Type]]="Deniz","Sea")))</f>
        <v>Sea</v>
      </c>
      <c r="F851">
        <v>1141.1199999999999</v>
      </c>
      <c r="G851" t="str">
        <f t="shared" si="26"/>
        <v>1001–1500</v>
      </c>
      <c r="H851" s="1">
        <v>1312.5</v>
      </c>
      <c r="I851" t="str">
        <f t="shared" si="27"/>
        <v>1001–1500</v>
      </c>
      <c r="J851" t="s">
        <v>11</v>
      </c>
      <c r="K851" t="str">
        <f>IF(logistics_classification_dataset__1[[#This Row],[Customer_Segment]]="Bireysel","Individual",IF(logistics_classification_dataset__1[[#This Row],[Customer_Segment]]="Kurumsal","Corporate"))</f>
        <v>Individual</v>
      </c>
      <c r="L851">
        <v>1</v>
      </c>
    </row>
    <row r="852" spans="1:12" x14ac:dyDescent="0.35">
      <c r="A852">
        <v>851</v>
      </c>
      <c r="B852" t="s">
        <v>22</v>
      </c>
      <c r="C852" t="s">
        <v>20</v>
      </c>
      <c r="D852" t="s">
        <v>15</v>
      </c>
      <c r="E852" t="str">
        <f>IF(logistics_classification_dataset__1[[#This Row],[Shipment_Type]]="Kara","Road",IF(logistics_classification_dataset__1[[#This Row],[Shipment_Type]]="Hava","Air",IF(logistics_classification_dataset__1[[#This Row],[Shipment_Type]]="Deniz","Sea")))</f>
        <v>Air</v>
      </c>
      <c r="F852">
        <v>1737.48</v>
      </c>
      <c r="G852" t="str">
        <f t="shared" si="26"/>
        <v>1501–2000</v>
      </c>
      <c r="H852" s="1">
        <v>1695.3</v>
      </c>
      <c r="I852" t="str">
        <f t="shared" si="27"/>
        <v>1501–2000</v>
      </c>
      <c r="J852" t="s">
        <v>11</v>
      </c>
      <c r="K852" t="str">
        <f>IF(logistics_classification_dataset__1[[#This Row],[Customer_Segment]]="Bireysel","Individual",IF(logistics_classification_dataset__1[[#This Row],[Customer_Segment]]="Kurumsal","Corporate"))</f>
        <v>Individual</v>
      </c>
      <c r="L852">
        <v>0</v>
      </c>
    </row>
    <row r="853" spans="1:12" x14ac:dyDescent="0.35">
      <c r="A853">
        <v>852</v>
      </c>
      <c r="B853" t="s">
        <v>12</v>
      </c>
      <c r="C853" t="s">
        <v>20</v>
      </c>
      <c r="D853" t="s">
        <v>19</v>
      </c>
      <c r="E853" t="str">
        <f>IF(logistics_classification_dataset__1[[#This Row],[Shipment_Type]]="Kara","Road",IF(logistics_classification_dataset__1[[#This Row],[Shipment_Type]]="Hava","Air",IF(logistics_classification_dataset__1[[#This Row],[Shipment_Type]]="Deniz","Sea")))</f>
        <v>Sea</v>
      </c>
      <c r="F853">
        <v>761.36</v>
      </c>
      <c r="G853" t="str">
        <f t="shared" si="26"/>
        <v>501–1000</v>
      </c>
      <c r="H853" s="1">
        <v>683.6</v>
      </c>
      <c r="I853" t="str">
        <f t="shared" si="27"/>
        <v>501–1000</v>
      </c>
      <c r="J853" t="s">
        <v>14</v>
      </c>
      <c r="K853" t="str">
        <f>IF(logistics_classification_dataset__1[[#This Row],[Customer_Segment]]="Bireysel","Individual",IF(logistics_classification_dataset__1[[#This Row],[Customer_Segment]]="Kurumsal","Corporate"))</f>
        <v>Corporate</v>
      </c>
      <c r="L853">
        <v>0</v>
      </c>
    </row>
    <row r="854" spans="1:12" x14ac:dyDescent="0.35">
      <c r="A854">
        <v>853</v>
      </c>
      <c r="B854" t="s">
        <v>12</v>
      </c>
      <c r="C854" t="s">
        <v>22</v>
      </c>
      <c r="D854" t="s">
        <v>10</v>
      </c>
      <c r="E854" t="str">
        <f>IF(logistics_classification_dataset__1[[#This Row],[Shipment_Type]]="Kara","Road",IF(logistics_classification_dataset__1[[#This Row],[Shipment_Type]]="Hava","Air",IF(logistics_classification_dataset__1[[#This Row],[Shipment_Type]]="Deniz","Sea")))</f>
        <v>Road</v>
      </c>
      <c r="F854">
        <v>746.11</v>
      </c>
      <c r="G854" t="str">
        <f t="shared" si="26"/>
        <v>501–1000</v>
      </c>
      <c r="H854" s="1">
        <v>1390.2</v>
      </c>
      <c r="I854" t="str">
        <f t="shared" si="27"/>
        <v>1001–1500</v>
      </c>
      <c r="J854" t="s">
        <v>11</v>
      </c>
      <c r="K854" t="str">
        <f>IF(logistics_classification_dataset__1[[#This Row],[Customer_Segment]]="Bireysel","Individual",IF(logistics_classification_dataset__1[[#This Row],[Customer_Segment]]="Kurumsal","Corporate"))</f>
        <v>Individual</v>
      </c>
      <c r="L854">
        <v>1</v>
      </c>
    </row>
    <row r="855" spans="1:12" x14ac:dyDescent="0.35">
      <c r="A855">
        <v>854</v>
      </c>
      <c r="B855" t="s">
        <v>21</v>
      </c>
      <c r="C855" t="s">
        <v>13</v>
      </c>
      <c r="D855" t="s">
        <v>10</v>
      </c>
      <c r="E855" t="str">
        <f>IF(logistics_classification_dataset__1[[#This Row],[Shipment_Type]]="Kara","Road",IF(logistics_classification_dataset__1[[#This Row],[Shipment_Type]]="Hava","Air",IF(logistics_classification_dataset__1[[#This Row],[Shipment_Type]]="Deniz","Sea")))</f>
        <v>Road</v>
      </c>
      <c r="F855">
        <v>1238.96</v>
      </c>
      <c r="G855" t="str">
        <f t="shared" si="26"/>
        <v>1001–1500</v>
      </c>
      <c r="H855" s="1">
        <v>1925.2</v>
      </c>
      <c r="I855" t="str">
        <f t="shared" si="27"/>
        <v>1501–2000</v>
      </c>
      <c r="J855" t="s">
        <v>11</v>
      </c>
      <c r="K855" t="str">
        <f>IF(logistics_classification_dataset__1[[#This Row],[Customer_Segment]]="Bireysel","Individual",IF(logistics_classification_dataset__1[[#This Row],[Customer_Segment]]="Kurumsal","Corporate"))</f>
        <v>Individual</v>
      </c>
      <c r="L855">
        <v>1</v>
      </c>
    </row>
    <row r="856" spans="1:12" x14ac:dyDescent="0.35">
      <c r="A856">
        <v>855</v>
      </c>
      <c r="B856" t="s">
        <v>21</v>
      </c>
      <c r="C856" t="s">
        <v>12</v>
      </c>
      <c r="D856" t="s">
        <v>10</v>
      </c>
      <c r="E856" t="str">
        <f>IF(logistics_classification_dataset__1[[#This Row],[Shipment_Type]]="Kara","Road",IF(logistics_classification_dataset__1[[#This Row],[Shipment_Type]]="Hava","Air",IF(logistics_classification_dataset__1[[#This Row],[Shipment_Type]]="Deniz","Sea")))</f>
        <v>Road</v>
      </c>
      <c r="F856">
        <v>1267.98</v>
      </c>
      <c r="G856" t="str">
        <f t="shared" si="26"/>
        <v>1001–1500</v>
      </c>
      <c r="H856" s="1">
        <v>1474</v>
      </c>
      <c r="I856" t="str">
        <f t="shared" si="27"/>
        <v>1001–1500</v>
      </c>
      <c r="J856" t="s">
        <v>14</v>
      </c>
      <c r="K856" t="str">
        <f>IF(logistics_classification_dataset__1[[#This Row],[Customer_Segment]]="Bireysel","Individual",IF(logistics_classification_dataset__1[[#This Row],[Customer_Segment]]="Kurumsal","Corporate"))</f>
        <v>Corporate</v>
      </c>
      <c r="L856">
        <v>1</v>
      </c>
    </row>
    <row r="857" spans="1:12" x14ac:dyDescent="0.35">
      <c r="A857">
        <v>856</v>
      </c>
      <c r="B857" t="s">
        <v>9</v>
      </c>
      <c r="C857" t="s">
        <v>21</v>
      </c>
      <c r="D857" t="s">
        <v>10</v>
      </c>
      <c r="E857" t="str">
        <f>IF(logistics_classification_dataset__1[[#This Row],[Shipment_Type]]="Kara","Road",IF(logistics_classification_dataset__1[[#This Row],[Shipment_Type]]="Hava","Air",IF(logistics_classification_dataset__1[[#This Row],[Shipment_Type]]="Deniz","Sea")))</f>
        <v>Road</v>
      </c>
      <c r="F857">
        <v>941.22</v>
      </c>
      <c r="G857" t="str">
        <f t="shared" si="26"/>
        <v>501–1000</v>
      </c>
      <c r="H857" s="1">
        <v>1005.2</v>
      </c>
      <c r="I857" t="str">
        <f t="shared" si="27"/>
        <v>1001–1500</v>
      </c>
      <c r="J857" t="s">
        <v>11</v>
      </c>
      <c r="K857" t="str">
        <f>IF(logistics_classification_dataset__1[[#This Row],[Customer_Segment]]="Bireysel","Individual",IF(logistics_classification_dataset__1[[#This Row],[Customer_Segment]]="Kurumsal","Corporate"))</f>
        <v>Individual</v>
      </c>
      <c r="L857">
        <v>1</v>
      </c>
    </row>
    <row r="858" spans="1:12" x14ac:dyDescent="0.35">
      <c r="A858">
        <v>857</v>
      </c>
      <c r="B858" t="s">
        <v>13</v>
      </c>
      <c r="C858" t="s">
        <v>18</v>
      </c>
      <c r="D858" t="s">
        <v>15</v>
      </c>
      <c r="E858" t="str">
        <f>IF(logistics_classification_dataset__1[[#This Row],[Shipment_Type]]="Kara","Road",IF(logistics_classification_dataset__1[[#This Row],[Shipment_Type]]="Hava","Air",IF(logistics_classification_dataset__1[[#This Row],[Shipment_Type]]="Deniz","Sea")))</f>
        <v>Air</v>
      </c>
      <c r="F858">
        <v>88.89</v>
      </c>
      <c r="G858" t="str">
        <f t="shared" si="26"/>
        <v>0–500</v>
      </c>
      <c r="H858" s="1">
        <v>1279.9000000000001</v>
      </c>
      <c r="I858" t="str">
        <f t="shared" si="27"/>
        <v>1001–1500</v>
      </c>
      <c r="J858" t="s">
        <v>11</v>
      </c>
      <c r="K858" t="str">
        <f>IF(logistics_classification_dataset__1[[#This Row],[Customer_Segment]]="Bireysel","Individual",IF(logistics_classification_dataset__1[[#This Row],[Customer_Segment]]="Kurumsal","Corporate"))</f>
        <v>Individual</v>
      </c>
      <c r="L858">
        <v>1</v>
      </c>
    </row>
    <row r="859" spans="1:12" x14ac:dyDescent="0.35">
      <c r="A859">
        <v>858</v>
      </c>
      <c r="B859" t="s">
        <v>21</v>
      </c>
      <c r="C859" t="s">
        <v>22</v>
      </c>
      <c r="D859" t="s">
        <v>10</v>
      </c>
      <c r="E859" t="str">
        <f>IF(logistics_classification_dataset__1[[#This Row],[Shipment_Type]]="Kara","Road",IF(logistics_classification_dataset__1[[#This Row],[Shipment_Type]]="Hava","Air",IF(logistics_classification_dataset__1[[#This Row],[Shipment_Type]]="Deniz","Sea")))</f>
        <v>Road</v>
      </c>
      <c r="F859">
        <v>990.82</v>
      </c>
      <c r="G859" t="str">
        <f t="shared" si="26"/>
        <v>501–1000</v>
      </c>
      <c r="H859" s="1">
        <v>1492.4</v>
      </c>
      <c r="I859" t="str">
        <f t="shared" si="27"/>
        <v>1001–1500</v>
      </c>
      <c r="J859" t="s">
        <v>11</v>
      </c>
      <c r="K859" t="str">
        <f>IF(logistics_classification_dataset__1[[#This Row],[Customer_Segment]]="Bireysel","Individual",IF(logistics_classification_dataset__1[[#This Row],[Customer_Segment]]="Kurumsal","Corporate"))</f>
        <v>Individual</v>
      </c>
      <c r="L859">
        <v>1</v>
      </c>
    </row>
    <row r="860" spans="1:12" x14ac:dyDescent="0.35">
      <c r="A860">
        <v>859</v>
      </c>
      <c r="B860" t="s">
        <v>18</v>
      </c>
      <c r="C860" t="s">
        <v>22</v>
      </c>
      <c r="D860" t="s">
        <v>15</v>
      </c>
      <c r="E860" t="str">
        <f>IF(logistics_classification_dataset__1[[#This Row],[Shipment_Type]]="Kara","Road",IF(logistics_classification_dataset__1[[#This Row],[Shipment_Type]]="Hava","Air",IF(logistics_classification_dataset__1[[#This Row],[Shipment_Type]]="Deniz","Sea")))</f>
        <v>Air</v>
      </c>
      <c r="F860">
        <v>1722.79</v>
      </c>
      <c r="G860" t="str">
        <f t="shared" si="26"/>
        <v>1501–2000</v>
      </c>
      <c r="H860" s="1">
        <v>1243.9000000000001</v>
      </c>
      <c r="I860" t="str">
        <f t="shared" si="27"/>
        <v>1001–1500</v>
      </c>
      <c r="J860" t="s">
        <v>11</v>
      </c>
      <c r="K860" t="str">
        <f>IF(logistics_classification_dataset__1[[#This Row],[Customer_Segment]]="Bireysel","Individual",IF(logistics_classification_dataset__1[[#This Row],[Customer_Segment]]="Kurumsal","Corporate"))</f>
        <v>Individual</v>
      </c>
      <c r="L860">
        <v>0</v>
      </c>
    </row>
    <row r="861" spans="1:12" x14ac:dyDescent="0.35">
      <c r="A861">
        <v>860</v>
      </c>
      <c r="B861" t="s">
        <v>20</v>
      </c>
      <c r="C861" t="s">
        <v>22</v>
      </c>
      <c r="D861" t="s">
        <v>15</v>
      </c>
      <c r="E861" t="str">
        <f>IF(logistics_classification_dataset__1[[#This Row],[Shipment_Type]]="Kara","Road",IF(logistics_classification_dataset__1[[#This Row],[Shipment_Type]]="Hava","Air",IF(logistics_classification_dataset__1[[#This Row],[Shipment_Type]]="Deniz","Sea")))</f>
        <v>Air</v>
      </c>
      <c r="F861">
        <v>925.03</v>
      </c>
      <c r="G861" t="str">
        <f t="shared" si="26"/>
        <v>501–1000</v>
      </c>
      <c r="H861" s="1">
        <v>82.5</v>
      </c>
      <c r="I861" t="str">
        <f t="shared" si="27"/>
        <v>0–500</v>
      </c>
      <c r="J861" t="s">
        <v>11</v>
      </c>
      <c r="K861" t="str">
        <f>IF(logistics_classification_dataset__1[[#This Row],[Customer_Segment]]="Bireysel","Individual",IF(logistics_classification_dataset__1[[#This Row],[Customer_Segment]]="Kurumsal","Corporate"))</f>
        <v>Individual</v>
      </c>
      <c r="L861">
        <v>1</v>
      </c>
    </row>
    <row r="862" spans="1:12" x14ac:dyDescent="0.35">
      <c r="A862">
        <v>861</v>
      </c>
      <c r="B862" t="s">
        <v>22</v>
      </c>
      <c r="C862" t="s">
        <v>20</v>
      </c>
      <c r="D862" t="s">
        <v>10</v>
      </c>
      <c r="E862" t="str">
        <f>IF(logistics_classification_dataset__1[[#This Row],[Shipment_Type]]="Kara","Road",IF(logistics_classification_dataset__1[[#This Row],[Shipment_Type]]="Hava","Air",IF(logistics_classification_dataset__1[[#This Row],[Shipment_Type]]="Deniz","Sea")))</f>
        <v>Road</v>
      </c>
      <c r="F862">
        <v>1880.16</v>
      </c>
      <c r="G862" t="str">
        <f t="shared" si="26"/>
        <v>1501–2000</v>
      </c>
      <c r="H862" s="1">
        <v>429.8</v>
      </c>
      <c r="I862" t="str">
        <f t="shared" si="27"/>
        <v>0–500</v>
      </c>
      <c r="J862" t="s">
        <v>11</v>
      </c>
      <c r="K862" t="str">
        <f>IF(logistics_classification_dataset__1[[#This Row],[Customer_Segment]]="Bireysel","Individual",IF(logistics_classification_dataset__1[[#This Row],[Customer_Segment]]="Kurumsal","Corporate"))</f>
        <v>Individual</v>
      </c>
      <c r="L862">
        <v>1</v>
      </c>
    </row>
    <row r="863" spans="1:12" x14ac:dyDescent="0.35">
      <c r="A863">
        <v>862</v>
      </c>
      <c r="B863" t="s">
        <v>13</v>
      </c>
      <c r="C863" t="s">
        <v>8</v>
      </c>
      <c r="D863" t="s">
        <v>10</v>
      </c>
      <c r="E863" t="str">
        <f>IF(logistics_classification_dataset__1[[#This Row],[Shipment_Type]]="Kara","Road",IF(logistics_classification_dataset__1[[#This Row],[Shipment_Type]]="Hava","Air",IF(logistics_classification_dataset__1[[#This Row],[Shipment_Type]]="Deniz","Sea")))</f>
        <v>Road</v>
      </c>
      <c r="F863">
        <v>1010.49</v>
      </c>
      <c r="G863" t="str">
        <f t="shared" si="26"/>
        <v>1001–1500</v>
      </c>
      <c r="H863" s="1">
        <v>1630.4</v>
      </c>
      <c r="I863" t="str">
        <f t="shared" si="27"/>
        <v>1501–2000</v>
      </c>
      <c r="J863" t="s">
        <v>14</v>
      </c>
      <c r="K863" t="str">
        <f>IF(logistics_classification_dataset__1[[#This Row],[Customer_Segment]]="Bireysel","Individual",IF(logistics_classification_dataset__1[[#This Row],[Customer_Segment]]="Kurumsal","Corporate"))</f>
        <v>Corporate</v>
      </c>
      <c r="L863">
        <v>1</v>
      </c>
    </row>
    <row r="864" spans="1:12" x14ac:dyDescent="0.35">
      <c r="A864">
        <v>863</v>
      </c>
      <c r="B864" t="s">
        <v>17</v>
      </c>
      <c r="C864" t="s">
        <v>18</v>
      </c>
      <c r="D864" t="s">
        <v>15</v>
      </c>
      <c r="E864" t="str">
        <f>IF(logistics_classification_dataset__1[[#This Row],[Shipment_Type]]="Kara","Road",IF(logistics_classification_dataset__1[[#This Row],[Shipment_Type]]="Hava","Air",IF(logistics_classification_dataset__1[[#This Row],[Shipment_Type]]="Deniz","Sea")))</f>
        <v>Air</v>
      </c>
      <c r="F864">
        <v>1898.66</v>
      </c>
      <c r="G864" t="str">
        <f t="shared" si="26"/>
        <v>1501–2000</v>
      </c>
      <c r="H864" s="1">
        <v>581.70000000000005</v>
      </c>
      <c r="I864" t="str">
        <f t="shared" si="27"/>
        <v>501–1000</v>
      </c>
      <c r="J864" t="s">
        <v>11</v>
      </c>
      <c r="K864" t="str">
        <f>IF(logistics_classification_dataset__1[[#This Row],[Customer_Segment]]="Bireysel","Individual",IF(logistics_classification_dataset__1[[#This Row],[Customer_Segment]]="Kurumsal","Corporate"))</f>
        <v>Individual</v>
      </c>
      <c r="L864">
        <v>1</v>
      </c>
    </row>
    <row r="865" spans="1:12" x14ac:dyDescent="0.35">
      <c r="A865">
        <v>864</v>
      </c>
      <c r="B865" t="s">
        <v>18</v>
      </c>
      <c r="C865" t="s">
        <v>9</v>
      </c>
      <c r="D865" t="s">
        <v>10</v>
      </c>
      <c r="E865" t="str">
        <f>IF(logistics_classification_dataset__1[[#This Row],[Shipment_Type]]="Kara","Road",IF(logistics_classification_dataset__1[[#This Row],[Shipment_Type]]="Hava","Air",IF(logistics_classification_dataset__1[[#This Row],[Shipment_Type]]="Deniz","Sea")))</f>
        <v>Road</v>
      </c>
      <c r="F865">
        <v>166.65</v>
      </c>
      <c r="G865" t="str">
        <f t="shared" si="26"/>
        <v>0–500</v>
      </c>
      <c r="H865" s="1">
        <v>1476.5</v>
      </c>
      <c r="I865" t="str">
        <f t="shared" si="27"/>
        <v>1001–1500</v>
      </c>
      <c r="J865" t="s">
        <v>14</v>
      </c>
      <c r="K865" t="str">
        <f>IF(logistics_classification_dataset__1[[#This Row],[Customer_Segment]]="Bireysel","Individual",IF(logistics_classification_dataset__1[[#This Row],[Customer_Segment]]="Kurumsal","Corporate"))</f>
        <v>Corporate</v>
      </c>
      <c r="L865">
        <v>1</v>
      </c>
    </row>
    <row r="866" spans="1:12" x14ac:dyDescent="0.35">
      <c r="A866">
        <v>865</v>
      </c>
      <c r="B866" t="s">
        <v>16</v>
      </c>
      <c r="C866" t="s">
        <v>13</v>
      </c>
      <c r="D866" t="s">
        <v>15</v>
      </c>
      <c r="E866" t="str">
        <f>IF(logistics_classification_dataset__1[[#This Row],[Shipment_Type]]="Kara","Road",IF(logistics_classification_dataset__1[[#This Row],[Shipment_Type]]="Hava","Air",IF(logistics_classification_dataset__1[[#This Row],[Shipment_Type]]="Deniz","Sea")))</f>
        <v>Air</v>
      </c>
      <c r="F866">
        <v>728.05</v>
      </c>
      <c r="G866" t="str">
        <f t="shared" si="26"/>
        <v>501–1000</v>
      </c>
      <c r="H866" s="1">
        <v>775.6</v>
      </c>
      <c r="I866" t="str">
        <f t="shared" si="27"/>
        <v>501–1000</v>
      </c>
      <c r="J866" t="s">
        <v>11</v>
      </c>
      <c r="K866" t="str">
        <f>IF(logistics_classification_dataset__1[[#This Row],[Customer_Segment]]="Bireysel","Individual",IF(logistics_classification_dataset__1[[#This Row],[Customer_Segment]]="Kurumsal","Corporate"))</f>
        <v>Individual</v>
      </c>
      <c r="L866">
        <v>1</v>
      </c>
    </row>
    <row r="867" spans="1:12" x14ac:dyDescent="0.35">
      <c r="A867">
        <v>866</v>
      </c>
      <c r="B867" t="s">
        <v>21</v>
      </c>
      <c r="C867" t="s">
        <v>13</v>
      </c>
      <c r="D867" t="s">
        <v>10</v>
      </c>
      <c r="E867" t="str">
        <f>IF(logistics_classification_dataset__1[[#This Row],[Shipment_Type]]="Kara","Road",IF(logistics_classification_dataset__1[[#This Row],[Shipment_Type]]="Hava","Air",IF(logistics_classification_dataset__1[[#This Row],[Shipment_Type]]="Deniz","Sea")))</f>
        <v>Road</v>
      </c>
      <c r="F867">
        <v>1727.96</v>
      </c>
      <c r="G867" t="str">
        <f t="shared" si="26"/>
        <v>1501–2000</v>
      </c>
      <c r="H867" s="1">
        <v>1067.7</v>
      </c>
      <c r="I867" t="str">
        <f t="shared" si="27"/>
        <v>1001–1500</v>
      </c>
      <c r="J867" t="s">
        <v>14</v>
      </c>
      <c r="K867" t="str">
        <f>IF(logistics_classification_dataset__1[[#This Row],[Customer_Segment]]="Bireysel","Individual",IF(logistics_classification_dataset__1[[#This Row],[Customer_Segment]]="Kurumsal","Corporate"))</f>
        <v>Corporate</v>
      </c>
      <c r="L867">
        <v>1</v>
      </c>
    </row>
    <row r="868" spans="1:12" x14ac:dyDescent="0.35">
      <c r="A868">
        <v>867</v>
      </c>
      <c r="B868" t="s">
        <v>17</v>
      </c>
      <c r="C868" t="s">
        <v>8</v>
      </c>
      <c r="D868" t="s">
        <v>10</v>
      </c>
      <c r="E868" t="str">
        <f>IF(logistics_classification_dataset__1[[#This Row],[Shipment_Type]]="Kara","Road",IF(logistics_classification_dataset__1[[#This Row],[Shipment_Type]]="Hava","Air",IF(logistics_classification_dataset__1[[#This Row],[Shipment_Type]]="Deniz","Sea")))</f>
        <v>Road</v>
      </c>
      <c r="F868">
        <v>224.58</v>
      </c>
      <c r="G868" t="str">
        <f t="shared" si="26"/>
        <v>0–500</v>
      </c>
      <c r="H868" s="1">
        <v>182.5</v>
      </c>
      <c r="I868" t="str">
        <f t="shared" si="27"/>
        <v>0–500</v>
      </c>
      <c r="J868" t="s">
        <v>14</v>
      </c>
      <c r="K868" t="str">
        <f>IF(logistics_classification_dataset__1[[#This Row],[Customer_Segment]]="Bireysel","Individual",IF(logistics_classification_dataset__1[[#This Row],[Customer_Segment]]="Kurumsal","Corporate"))</f>
        <v>Corporate</v>
      </c>
      <c r="L868">
        <v>1</v>
      </c>
    </row>
    <row r="869" spans="1:12" x14ac:dyDescent="0.35">
      <c r="A869">
        <v>868</v>
      </c>
      <c r="B869" t="s">
        <v>21</v>
      </c>
      <c r="C869" t="s">
        <v>20</v>
      </c>
      <c r="D869" t="s">
        <v>10</v>
      </c>
      <c r="E869" t="str">
        <f>IF(logistics_classification_dataset__1[[#This Row],[Shipment_Type]]="Kara","Road",IF(logistics_classification_dataset__1[[#This Row],[Shipment_Type]]="Hava","Air",IF(logistics_classification_dataset__1[[#This Row],[Shipment_Type]]="Deniz","Sea")))</f>
        <v>Road</v>
      </c>
      <c r="F869">
        <v>1850.47</v>
      </c>
      <c r="G869" t="str">
        <f t="shared" si="26"/>
        <v>1501–2000</v>
      </c>
      <c r="H869" s="1">
        <v>403.4</v>
      </c>
      <c r="I869" t="str">
        <f t="shared" si="27"/>
        <v>0–500</v>
      </c>
      <c r="J869" t="s">
        <v>11</v>
      </c>
      <c r="K869" t="str">
        <f>IF(logistics_classification_dataset__1[[#This Row],[Customer_Segment]]="Bireysel","Individual",IF(logistics_classification_dataset__1[[#This Row],[Customer_Segment]]="Kurumsal","Corporate"))</f>
        <v>Individual</v>
      </c>
      <c r="L869">
        <v>1</v>
      </c>
    </row>
    <row r="870" spans="1:12" x14ac:dyDescent="0.35">
      <c r="A870">
        <v>869</v>
      </c>
      <c r="B870" t="s">
        <v>12</v>
      </c>
      <c r="C870" t="s">
        <v>16</v>
      </c>
      <c r="D870" t="s">
        <v>19</v>
      </c>
      <c r="E870" t="str">
        <f>IF(logistics_classification_dataset__1[[#This Row],[Shipment_Type]]="Kara","Road",IF(logistics_classification_dataset__1[[#This Row],[Shipment_Type]]="Hava","Air",IF(logistics_classification_dataset__1[[#This Row],[Shipment_Type]]="Deniz","Sea")))</f>
        <v>Sea</v>
      </c>
      <c r="F870">
        <v>1265.1300000000001</v>
      </c>
      <c r="G870" t="str">
        <f t="shared" si="26"/>
        <v>1001–1500</v>
      </c>
      <c r="H870" s="1">
        <v>1916.5</v>
      </c>
      <c r="I870" t="str">
        <f t="shared" si="27"/>
        <v>1501–2000</v>
      </c>
      <c r="J870" t="s">
        <v>11</v>
      </c>
      <c r="K870" t="str">
        <f>IF(logistics_classification_dataset__1[[#This Row],[Customer_Segment]]="Bireysel","Individual",IF(logistics_classification_dataset__1[[#This Row],[Customer_Segment]]="Kurumsal","Corporate"))</f>
        <v>Individual</v>
      </c>
      <c r="L870">
        <v>1</v>
      </c>
    </row>
    <row r="871" spans="1:12" x14ac:dyDescent="0.35">
      <c r="A871">
        <v>870</v>
      </c>
      <c r="B871" t="s">
        <v>18</v>
      </c>
      <c r="C871" t="s">
        <v>9</v>
      </c>
      <c r="D871" t="s">
        <v>10</v>
      </c>
      <c r="E871" t="str">
        <f>IF(logistics_classification_dataset__1[[#This Row],[Shipment_Type]]="Kara","Road",IF(logistics_classification_dataset__1[[#This Row],[Shipment_Type]]="Hava","Air",IF(logistics_classification_dataset__1[[#This Row],[Shipment_Type]]="Deniz","Sea")))</f>
        <v>Road</v>
      </c>
      <c r="F871">
        <v>113.51</v>
      </c>
      <c r="G871" t="str">
        <f t="shared" si="26"/>
        <v>0–500</v>
      </c>
      <c r="H871" s="1">
        <v>1785.8</v>
      </c>
      <c r="I871" t="str">
        <f t="shared" si="27"/>
        <v>1501–2000</v>
      </c>
      <c r="J871" t="s">
        <v>11</v>
      </c>
      <c r="K871" t="str">
        <f>IF(logistics_classification_dataset__1[[#This Row],[Customer_Segment]]="Bireysel","Individual",IF(logistics_classification_dataset__1[[#This Row],[Customer_Segment]]="Kurumsal","Corporate"))</f>
        <v>Individual</v>
      </c>
      <c r="L871">
        <v>1</v>
      </c>
    </row>
    <row r="872" spans="1:12" x14ac:dyDescent="0.35">
      <c r="A872">
        <v>871</v>
      </c>
      <c r="B872" t="s">
        <v>12</v>
      </c>
      <c r="C872" t="s">
        <v>17</v>
      </c>
      <c r="D872" t="s">
        <v>15</v>
      </c>
      <c r="E872" t="str">
        <f>IF(logistics_classification_dataset__1[[#This Row],[Shipment_Type]]="Kara","Road",IF(logistics_classification_dataset__1[[#This Row],[Shipment_Type]]="Hava","Air",IF(logistics_classification_dataset__1[[#This Row],[Shipment_Type]]="Deniz","Sea")))</f>
        <v>Air</v>
      </c>
      <c r="F872">
        <v>1290.29</v>
      </c>
      <c r="G872" t="str">
        <f t="shared" si="26"/>
        <v>1001–1500</v>
      </c>
      <c r="H872" s="1">
        <v>1321.9</v>
      </c>
      <c r="I872" t="str">
        <f t="shared" si="27"/>
        <v>1001–1500</v>
      </c>
      <c r="J872" t="s">
        <v>14</v>
      </c>
      <c r="K872" t="str">
        <f>IF(logistics_classification_dataset__1[[#This Row],[Customer_Segment]]="Bireysel","Individual",IF(logistics_classification_dataset__1[[#This Row],[Customer_Segment]]="Kurumsal","Corporate"))</f>
        <v>Corporate</v>
      </c>
      <c r="L872">
        <v>1</v>
      </c>
    </row>
    <row r="873" spans="1:12" x14ac:dyDescent="0.35">
      <c r="A873">
        <v>872</v>
      </c>
      <c r="B873" t="s">
        <v>9</v>
      </c>
      <c r="C873" t="s">
        <v>8</v>
      </c>
      <c r="D873" t="s">
        <v>10</v>
      </c>
      <c r="E873" t="str">
        <f>IF(logistics_classification_dataset__1[[#This Row],[Shipment_Type]]="Kara","Road",IF(logistics_classification_dataset__1[[#This Row],[Shipment_Type]]="Hava","Air",IF(logistics_classification_dataset__1[[#This Row],[Shipment_Type]]="Deniz","Sea")))</f>
        <v>Road</v>
      </c>
      <c r="F873">
        <v>1948.62</v>
      </c>
      <c r="G873" t="str">
        <f t="shared" si="26"/>
        <v>1501–2000</v>
      </c>
      <c r="H873" s="1">
        <v>946.3</v>
      </c>
      <c r="I873" t="str">
        <f t="shared" si="27"/>
        <v>501–1000</v>
      </c>
      <c r="J873" t="s">
        <v>14</v>
      </c>
      <c r="K873" t="str">
        <f>IF(logistics_classification_dataset__1[[#This Row],[Customer_Segment]]="Bireysel","Individual",IF(logistics_classification_dataset__1[[#This Row],[Customer_Segment]]="Kurumsal","Corporate"))</f>
        <v>Corporate</v>
      </c>
      <c r="L873">
        <v>1</v>
      </c>
    </row>
    <row r="874" spans="1:12" x14ac:dyDescent="0.35">
      <c r="A874">
        <v>873</v>
      </c>
      <c r="B874" t="s">
        <v>12</v>
      </c>
      <c r="C874" t="s">
        <v>16</v>
      </c>
      <c r="D874" t="s">
        <v>15</v>
      </c>
      <c r="E874" t="str">
        <f>IF(logistics_classification_dataset__1[[#This Row],[Shipment_Type]]="Kara","Road",IF(logistics_classification_dataset__1[[#This Row],[Shipment_Type]]="Hava","Air",IF(logistics_classification_dataset__1[[#This Row],[Shipment_Type]]="Deniz","Sea")))</f>
        <v>Air</v>
      </c>
      <c r="F874">
        <v>144.25</v>
      </c>
      <c r="G874" t="str">
        <f t="shared" si="26"/>
        <v>0–500</v>
      </c>
      <c r="H874" s="1">
        <v>1367.7</v>
      </c>
      <c r="I874" t="str">
        <f t="shared" si="27"/>
        <v>1001–1500</v>
      </c>
      <c r="J874" t="s">
        <v>11</v>
      </c>
      <c r="K874" t="str">
        <f>IF(logistics_classification_dataset__1[[#This Row],[Customer_Segment]]="Bireysel","Individual",IF(logistics_classification_dataset__1[[#This Row],[Customer_Segment]]="Kurumsal","Corporate"))</f>
        <v>Individual</v>
      </c>
      <c r="L874">
        <v>0</v>
      </c>
    </row>
    <row r="875" spans="1:12" x14ac:dyDescent="0.35">
      <c r="A875">
        <v>874</v>
      </c>
      <c r="B875" t="s">
        <v>9</v>
      </c>
      <c r="C875" t="s">
        <v>18</v>
      </c>
      <c r="D875" t="s">
        <v>15</v>
      </c>
      <c r="E875" t="str">
        <f>IF(logistics_classification_dataset__1[[#This Row],[Shipment_Type]]="Kara","Road",IF(logistics_classification_dataset__1[[#This Row],[Shipment_Type]]="Hava","Air",IF(logistics_classification_dataset__1[[#This Row],[Shipment_Type]]="Deniz","Sea")))</f>
        <v>Air</v>
      </c>
      <c r="F875">
        <v>111.16</v>
      </c>
      <c r="G875" t="str">
        <f t="shared" si="26"/>
        <v>0–500</v>
      </c>
      <c r="H875" s="1">
        <v>1256.3</v>
      </c>
      <c r="I875" t="str">
        <f t="shared" si="27"/>
        <v>1001–1500</v>
      </c>
      <c r="J875" t="s">
        <v>11</v>
      </c>
      <c r="K875" t="str">
        <f>IF(logistics_classification_dataset__1[[#This Row],[Customer_Segment]]="Bireysel","Individual",IF(logistics_classification_dataset__1[[#This Row],[Customer_Segment]]="Kurumsal","Corporate"))</f>
        <v>Individual</v>
      </c>
      <c r="L875">
        <v>1</v>
      </c>
    </row>
    <row r="876" spans="1:12" x14ac:dyDescent="0.35">
      <c r="A876">
        <v>875</v>
      </c>
      <c r="B876" t="s">
        <v>9</v>
      </c>
      <c r="C876" t="s">
        <v>20</v>
      </c>
      <c r="D876" t="s">
        <v>10</v>
      </c>
      <c r="E876" t="str">
        <f>IF(logistics_classification_dataset__1[[#This Row],[Shipment_Type]]="Kara","Road",IF(logistics_classification_dataset__1[[#This Row],[Shipment_Type]]="Hava","Air",IF(logistics_classification_dataset__1[[#This Row],[Shipment_Type]]="Deniz","Sea")))</f>
        <v>Road</v>
      </c>
      <c r="F876">
        <v>1496.85</v>
      </c>
      <c r="G876" t="str">
        <f t="shared" si="26"/>
        <v>1001–1500</v>
      </c>
      <c r="H876" s="1">
        <v>1158.7</v>
      </c>
      <c r="I876" t="str">
        <f t="shared" si="27"/>
        <v>1001–1500</v>
      </c>
      <c r="J876" t="s">
        <v>11</v>
      </c>
      <c r="K876" t="str">
        <f>IF(logistics_classification_dataset__1[[#This Row],[Customer_Segment]]="Bireysel","Individual",IF(logistics_classification_dataset__1[[#This Row],[Customer_Segment]]="Kurumsal","Corporate"))</f>
        <v>Individual</v>
      </c>
      <c r="L876">
        <v>0</v>
      </c>
    </row>
    <row r="877" spans="1:12" x14ac:dyDescent="0.35">
      <c r="A877">
        <v>876</v>
      </c>
      <c r="B877" t="s">
        <v>17</v>
      </c>
      <c r="C877" t="s">
        <v>9</v>
      </c>
      <c r="D877" t="s">
        <v>10</v>
      </c>
      <c r="E877" t="str">
        <f>IF(logistics_classification_dataset__1[[#This Row],[Shipment_Type]]="Kara","Road",IF(logistics_classification_dataset__1[[#This Row],[Shipment_Type]]="Hava","Air",IF(logistics_classification_dataset__1[[#This Row],[Shipment_Type]]="Deniz","Sea")))</f>
        <v>Road</v>
      </c>
      <c r="F877">
        <v>1621.47</v>
      </c>
      <c r="G877" t="str">
        <f t="shared" si="26"/>
        <v>1501–2000</v>
      </c>
      <c r="H877" s="1">
        <v>165.4</v>
      </c>
      <c r="I877" t="str">
        <f t="shared" si="27"/>
        <v>0–500</v>
      </c>
      <c r="J877" t="s">
        <v>14</v>
      </c>
      <c r="K877" t="str">
        <f>IF(logistics_classification_dataset__1[[#This Row],[Customer_Segment]]="Bireysel","Individual",IF(logistics_classification_dataset__1[[#This Row],[Customer_Segment]]="Kurumsal","Corporate"))</f>
        <v>Corporate</v>
      </c>
      <c r="L877">
        <v>0</v>
      </c>
    </row>
    <row r="878" spans="1:12" x14ac:dyDescent="0.35">
      <c r="A878">
        <v>877</v>
      </c>
      <c r="B878" t="s">
        <v>21</v>
      </c>
      <c r="C878" t="s">
        <v>9</v>
      </c>
      <c r="D878" t="s">
        <v>15</v>
      </c>
      <c r="E878" t="str">
        <f>IF(logistics_classification_dataset__1[[#This Row],[Shipment_Type]]="Kara","Road",IF(logistics_classification_dataset__1[[#This Row],[Shipment_Type]]="Hava","Air",IF(logistics_classification_dataset__1[[#This Row],[Shipment_Type]]="Deniz","Sea")))</f>
        <v>Air</v>
      </c>
      <c r="F878">
        <v>830.59</v>
      </c>
      <c r="G878" t="str">
        <f t="shared" si="26"/>
        <v>501–1000</v>
      </c>
      <c r="H878" s="1">
        <v>1284</v>
      </c>
      <c r="I878" t="str">
        <f t="shared" si="27"/>
        <v>1001–1500</v>
      </c>
      <c r="J878" t="s">
        <v>11</v>
      </c>
      <c r="K878" t="str">
        <f>IF(logistics_classification_dataset__1[[#This Row],[Customer_Segment]]="Bireysel","Individual",IF(logistics_classification_dataset__1[[#This Row],[Customer_Segment]]="Kurumsal","Corporate"))</f>
        <v>Individual</v>
      </c>
      <c r="L878">
        <v>1</v>
      </c>
    </row>
    <row r="879" spans="1:12" x14ac:dyDescent="0.35">
      <c r="A879">
        <v>878</v>
      </c>
      <c r="B879" t="s">
        <v>16</v>
      </c>
      <c r="C879" t="s">
        <v>9</v>
      </c>
      <c r="D879" t="s">
        <v>10</v>
      </c>
      <c r="E879" t="str">
        <f>IF(logistics_classification_dataset__1[[#This Row],[Shipment_Type]]="Kara","Road",IF(logistics_classification_dataset__1[[#This Row],[Shipment_Type]]="Hava","Air",IF(logistics_classification_dataset__1[[#This Row],[Shipment_Type]]="Deniz","Sea")))</f>
        <v>Road</v>
      </c>
      <c r="F879">
        <v>412.31</v>
      </c>
      <c r="G879" t="str">
        <f t="shared" si="26"/>
        <v>0–500</v>
      </c>
      <c r="H879" s="1">
        <v>1549.4</v>
      </c>
      <c r="I879" t="str">
        <f t="shared" si="27"/>
        <v>1501–2000</v>
      </c>
      <c r="J879" t="s">
        <v>11</v>
      </c>
      <c r="K879" t="str">
        <f>IF(logistics_classification_dataset__1[[#This Row],[Customer_Segment]]="Bireysel","Individual",IF(logistics_classification_dataset__1[[#This Row],[Customer_Segment]]="Kurumsal","Corporate"))</f>
        <v>Individual</v>
      </c>
      <c r="L879">
        <v>1</v>
      </c>
    </row>
    <row r="880" spans="1:12" x14ac:dyDescent="0.35">
      <c r="A880">
        <v>879</v>
      </c>
      <c r="B880" t="s">
        <v>12</v>
      </c>
      <c r="C880" t="s">
        <v>18</v>
      </c>
      <c r="D880" t="s">
        <v>15</v>
      </c>
      <c r="E880" t="str">
        <f>IF(logistics_classification_dataset__1[[#This Row],[Shipment_Type]]="Kara","Road",IF(logistics_classification_dataset__1[[#This Row],[Shipment_Type]]="Hava","Air",IF(logistics_classification_dataset__1[[#This Row],[Shipment_Type]]="Deniz","Sea")))</f>
        <v>Air</v>
      </c>
      <c r="F880">
        <v>89.47</v>
      </c>
      <c r="G880" t="str">
        <f t="shared" si="26"/>
        <v>0–500</v>
      </c>
      <c r="H880" s="1">
        <v>1988.5</v>
      </c>
      <c r="I880" t="str">
        <f t="shared" si="27"/>
        <v>1501–2000</v>
      </c>
      <c r="J880" t="s">
        <v>11</v>
      </c>
      <c r="K880" t="str">
        <f>IF(logistics_classification_dataset__1[[#This Row],[Customer_Segment]]="Bireysel","Individual",IF(logistics_classification_dataset__1[[#This Row],[Customer_Segment]]="Kurumsal","Corporate"))</f>
        <v>Individual</v>
      </c>
      <c r="L880">
        <v>0</v>
      </c>
    </row>
    <row r="881" spans="1:12" x14ac:dyDescent="0.35">
      <c r="A881">
        <v>880</v>
      </c>
      <c r="B881" t="s">
        <v>18</v>
      </c>
      <c r="C881" t="s">
        <v>21</v>
      </c>
      <c r="D881" t="s">
        <v>10</v>
      </c>
      <c r="E881" t="str">
        <f>IF(logistics_classification_dataset__1[[#This Row],[Shipment_Type]]="Kara","Road",IF(logistics_classification_dataset__1[[#This Row],[Shipment_Type]]="Hava","Air",IF(logistics_classification_dataset__1[[#This Row],[Shipment_Type]]="Deniz","Sea")))</f>
        <v>Road</v>
      </c>
      <c r="F881">
        <v>1161.55</v>
      </c>
      <c r="G881" t="str">
        <f t="shared" si="26"/>
        <v>1001–1500</v>
      </c>
      <c r="H881" s="1">
        <v>71.599999999999994</v>
      </c>
      <c r="I881" t="str">
        <f t="shared" si="27"/>
        <v>0–500</v>
      </c>
      <c r="J881" t="s">
        <v>11</v>
      </c>
      <c r="K881" t="str">
        <f>IF(logistics_classification_dataset__1[[#This Row],[Customer_Segment]]="Bireysel","Individual",IF(logistics_classification_dataset__1[[#This Row],[Customer_Segment]]="Kurumsal","Corporate"))</f>
        <v>Individual</v>
      </c>
      <c r="L881">
        <v>1</v>
      </c>
    </row>
    <row r="882" spans="1:12" x14ac:dyDescent="0.35">
      <c r="A882">
        <v>881</v>
      </c>
      <c r="B882" t="s">
        <v>9</v>
      </c>
      <c r="C882" t="s">
        <v>17</v>
      </c>
      <c r="D882" t="s">
        <v>15</v>
      </c>
      <c r="E882" t="str">
        <f>IF(logistics_classification_dataset__1[[#This Row],[Shipment_Type]]="Kara","Road",IF(logistics_classification_dataset__1[[#This Row],[Shipment_Type]]="Hava","Air",IF(logistics_classification_dataset__1[[#This Row],[Shipment_Type]]="Deniz","Sea")))</f>
        <v>Air</v>
      </c>
      <c r="F882">
        <v>908.56</v>
      </c>
      <c r="G882" t="str">
        <f t="shared" si="26"/>
        <v>501–1000</v>
      </c>
      <c r="H882" s="1">
        <v>1473.8</v>
      </c>
      <c r="I882" t="str">
        <f t="shared" si="27"/>
        <v>1001–1500</v>
      </c>
      <c r="J882" t="s">
        <v>14</v>
      </c>
      <c r="K882" t="str">
        <f>IF(logistics_classification_dataset__1[[#This Row],[Customer_Segment]]="Bireysel","Individual",IF(logistics_classification_dataset__1[[#This Row],[Customer_Segment]]="Kurumsal","Corporate"))</f>
        <v>Corporate</v>
      </c>
      <c r="L882">
        <v>1</v>
      </c>
    </row>
    <row r="883" spans="1:12" x14ac:dyDescent="0.35">
      <c r="A883">
        <v>882</v>
      </c>
      <c r="B883" t="s">
        <v>21</v>
      </c>
      <c r="C883" t="s">
        <v>18</v>
      </c>
      <c r="D883" t="s">
        <v>15</v>
      </c>
      <c r="E883" t="str">
        <f>IF(logistics_classification_dataset__1[[#This Row],[Shipment_Type]]="Kara","Road",IF(logistics_classification_dataset__1[[#This Row],[Shipment_Type]]="Hava","Air",IF(logistics_classification_dataset__1[[#This Row],[Shipment_Type]]="Deniz","Sea")))</f>
        <v>Air</v>
      </c>
      <c r="F883">
        <v>1897.75</v>
      </c>
      <c r="G883" t="str">
        <f t="shared" si="26"/>
        <v>1501–2000</v>
      </c>
      <c r="H883" s="1">
        <v>1165</v>
      </c>
      <c r="I883" t="str">
        <f t="shared" si="27"/>
        <v>1001–1500</v>
      </c>
      <c r="J883" t="s">
        <v>11</v>
      </c>
      <c r="K883" t="str">
        <f>IF(logistics_classification_dataset__1[[#This Row],[Customer_Segment]]="Bireysel","Individual",IF(logistics_classification_dataset__1[[#This Row],[Customer_Segment]]="Kurumsal","Corporate"))</f>
        <v>Individual</v>
      </c>
      <c r="L883">
        <v>0</v>
      </c>
    </row>
    <row r="884" spans="1:12" x14ac:dyDescent="0.35">
      <c r="A884">
        <v>883</v>
      </c>
      <c r="B884" t="s">
        <v>22</v>
      </c>
      <c r="C884" t="s">
        <v>13</v>
      </c>
      <c r="D884" t="s">
        <v>19</v>
      </c>
      <c r="E884" t="str">
        <f>IF(logistics_classification_dataset__1[[#This Row],[Shipment_Type]]="Kara","Road",IF(logistics_classification_dataset__1[[#This Row],[Shipment_Type]]="Hava","Air",IF(logistics_classification_dataset__1[[#This Row],[Shipment_Type]]="Deniz","Sea")))</f>
        <v>Sea</v>
      </c>
      <c r="F884">
        <v>125.91</v>
      </c>
      <c r="G884" t="str">
        <f t="shared" si="26"/>
        <v>0–500</v>
      </c>
      <c r="H884" s="1">
        <v>896.4</v>
      </c>
      <c r="I884" t="str">
        <f t="shared" si="27"/>
        <v>501–1000</v>
      </c>
      <c r="J884" t="s">
        <v>11</v>
      </c>
      <c r="K884" t="str">
        <f>IF(logistics_classification_dataset__1[[#This Row],[Customer_Segment]]="Bireysel","Individual",IF(logistics_classification_dataset__1[[#This Row],[Customer_Segment]]="Kurumsal","Corporate"))</f>
        <v>Individual</v>
      </c>
      <c r="L884">
        <v>1</v>
      </c>
    </row>
    <row r="885" spans="1:12" x14ac:dyDescent="0.35">
      <c r="A885">
        <v>884</v>
      </c>
      <c r="B885" t="s">
        <v>13</v>
      </c>
      <c r="C885" t="s">
        <v>17</v>
      </c>
      <c r="D885" t="s">
        <v>10</v>
      </c>
      <c r="E885" t="str">
        <f>IF(logistics_classification_dataset__1[[#This Row],[Shipment_Type]]="Kara","Road",IF(logistics_classification_dataset__1[[#This Row],[Shipment_Type]]="Hava","Air",IF(logistics_classification_dataset__1[[#This Row],[Shipment_Type]]="Deniz","Sea")))</f>
        <v>Road</v>
      </c>
      <c r="F885">
        <v>1372.36</v>
      </c>
      <c r="G885" t="str">
        <f t="shared" si="26"/>
        <v>1001–1500</v>
      </c>
      <c r="H885" s="1">
        <v>298.8</v>
      </c>
      <c r="I885" t="str">
        <f t="shared" si="27"/>
        <v>0–500</v>
      </c>
      <c r="J885" t="s">
        <v>11</v>
      </c>
      <c r="K885" t="str">
        <f>IF(logistics_classification_dataset__1[[#This Row],[Customer_Segment]]="Bireysel","Individual",IF(logistics_classification_dataset__1[[#This Row],[Customer_Segment]]="Kurumsal","Corporate"))</f>
        <v>Individual</v>
      </c>
      <c r="L885">
        <v>1</v>
      </c>
    </row>
    <row r="886" spans="1:12" x14ac:dyDescent="0.35">
      <c r="A886">
        <v>885</v>
      </c>
      <c r="B886" t="s">
        <v>17</v>
      </c>
      <c r="C886" t="s">
        <v>22</v>
      </c>
      <c r="D886" t="s">
        <v>10</v>
      </c>
      <c r="E886" t="str">
        <f>IF(logistics_classification_dataset__1[[#This Row],[Shipment_Type]]="Kara","Road",IF(logistics_classification_dataset__1[[#This Row],[Shipment_Type]]="Hava","Air",IF(logistics_classification_dataset__1[[#This Row],[Shipment_Type]]="Deniz","Sea")))</f>
        <v>Road</v>
      </c>
      <c r="F886">
        <v>54.81</v>
      </c>
      <c r="G886" t="str">
        <f t="shared" si="26"/>
        <v>0–500</v>
      </c>
      <c r="H886" s="1">
        <v>847.7</v>
      </c>
      <c r="I886" t="str">
        <f t="shared" si="27"/>
        <v>501–1000</v>
      </c>
      <c r="J886" t="s">
        <v>11</v>
      </c>
      <c r="K886" t="str">
        <f>IF(logistics_classification_dataset__1[[#This Row],[Customer_Segment]]="Bireysel","Individual",IF(logistics_classification_dataset__1[[#This Row],[Customer_Segment]]="Kurumsal","Corporate"))</f>
        <v>Individual</v>
      </c>
      <c r="L886">
        <v>1</v>
      </c>
    </row>
    <row r="887" spans="1:12" x14ac:dyDescent="0.35">
      <c r="A887">
        <v>886</v>
      </c>
      <c r="B887" t="s">
        <v>16</v>
      </c>
      <c r="C887" t="s">
        <v>20</v>
      </c>
      <c r="D887" t="s">
        <v>10</v>
      </c>
      <c r="E887" t="str">
        <f>IF(logistics_classification_dataset__1[[#This Row],[Shipment_Type]]="Kara","Road",IF(logistics_classification_dataset__1[[#This Row],[Shipment_Type]]="Hava","Air",IF(logistics_classification_dataset__1[[#This Row],[Shipment_Type]]="Deniz","Sea")))</f>
        <v>Road</v>
      </c>
      <c r="F887">
        <v>347.01</v>
      </c>
      <c r="G887" t="str">
        <f t="shared" si="26"/>
        <v>0–500</v>
      </c>
      <c r="H887" s="1">
        <v>741</v>
      </c>
      <c r="I887" t="str">
        <f t="shared" si="27"/>
        <v>501–1000</v>
      </c>
      <c r="J887" t="s">
        <v>11</v>
      </c>
      <c r="K887" t="str">
        <f>IF(logistics_classification_dataset__1[[#This Row],[Customer_Segment]]="Bireysel","Individual",IF(logistics_classification_dataset__1[[#This Row],[Customer_Segment]]="Kurumsal","Corporate"))</f>
        <v>Individual</v>
      </c>
      <c r="L887">
        <v>1</v>
      </c>
    </row>
    <row r="888" spans="1:12" x14ac:dyDescent="0.35">
      <c r="A888">
        <v>887</v>
      </c>
      <c r="B888" t="s">
        <v>8</v>
      </c>
      <c r="C888" t="s">
        <v>18</v>
      </c>
      <c r="D888" t="s">
        <v>10</v>
      </c>
      <c r="E888" t="str">
        <f>IF(logistics_classification_dataset__1[[#This Row],[Shipment_Type]]="Kara","Road",IF(logistics_classification_dataset__1[[#This Row],[Shipment_Type]]="Hava","Air",IF(logistics_classification_dataset__1[[#This Row],[Shipment_Type]]="Deniz","Sea")))</f>
        <v>Road</v>
      </c>
      <c r="F888">
        <v>909.89</v>
      </c>
      <c r="G888" t="str">
        <f t="shared" si="26"/>
        <v>501–1000</v>
      </c>
      <c r="H888" s="1">
        <v>640.5</v>
      </c>
      <c r="I888" t="str">
        <f t="shared" si="27"/>
        <v>501–1000</v>
      </c>
      <c r="J888" t="s">
        <v>14</v>
      </c>
      <c r="K888" t="str">
        <f>IF(logistics_classification_dataset__1[[#This Row],[Customer_Segment]]="Bireysel","Individual",IF(logistics_classification_dataset__1[[#This Row],[Customer_Segment]]="Kurumsal","Corporate"))</f>
        <v>Corporate</v>
      </c>
      <c r="L888">
        <v>1</v>
      </c>
    </row>
    <row r="889" spans="1:12" x14ac:dyDescent="0.35">
      <c r="A889">
        <v>888</v>
      </c>
      <c r="B889" t="s">
        <v>17</v>
      </c>
      <c r="C889" t="s">
        <v>16</v>
      </c>
      <c r="D889" t="s">
        <v>10</v>
      </c>
      <c r="E889" t="str">
        <f>IF(logistics_classification_dataset__1[[#This Row],[Shipment_Type]]="Kara","Road",IF(logistics_classification_dataset__1[[#This Row],[Shipment_Type]]="Hava","Air",IF(logistics_classification_dataset__1[[#This Row],[Shipment_Type]]="Deniz","Sea")))</f>
        <v>Road</v>
      </c>
      <c r="F889">
        <v>912.47</v>
      </c>
      <c r="G889" t="str">
        <f t="shared" si="26"/>
        <v>501–1000</v>
      </c>
      <c r="H889" s="1">
        <v>1475.2</v>
      </c>
      <c r="I889" t="str">
        <f t="shared" si="27"/>
        <v>1001–1500</v>
      </c>
      <c r="J889" t="s">
        <v>14</v>
      </c>
      <c r="K889" t="str">
        <f>IF(logistics_classification_dataset__1[[#This Row],[Customer_Segment]]="Bireysel","Individual",IF(logistics_classification_dataset__1[[#This Row],[Customer_Segment]]="Kurumsal","Corporate"))</f>
        <v>Corporate</v>
      </c>
      <c r="L889">
        <v>1</v>
      </c>
    </row>
    <row r="890" spans="1:12" x14ac:dyDescent="0.35">
      <c r="A890">
        <v>889</v>
      </c>
      <c r="B890" t="s">
        <v>22</v>
      </c>
      <c r="C890" t="s">
        <v>17</v>
      </c>
      <c r="D890" t="s">
        <v>10</v>
      </c>
      <c r="E890" t="str">
        <f>IF(logistics_classification_dataset__1[[#This Row],[Shipment_Type]]="Kara","Road",IF(logistics_classification_dataset__1[[#This Row],[Shipment_Type]]="Hava","Air",IF(logistics_classification_dataset__1[[#This Row],[Shipment_Type]]="Deniz","Sea")))</f>
        <v>Road</v>
      </c>
      <c r="F890">
        <v>1372.97</v>
      </c>
      <c r="G890" t="str">
        <f t="shared" si="26"/>
        <v>1001–1500</v>
      </c>
      <c r="H890" s="1">
        <v>1416.4</v>
      </c>
      <c r="I890" t="str">
        <f t="shared" si="27"/>
        <v>1001–1500</v>
      </c>
      <c r="J890" t="s">
        <v>11</v>
      </c>
      <c r="K890" t="str">
        <f>IF(logistics_classification_dataset__1[[#This Row],[Customer_Segment]]="Bireysel","Individual",IF(logistics_classification_dataset__1[[#This Row],[Customer_Segment]]="Kurumsal","Corporate"))</f>
        <v>Individual</v>
      </c>
      <c r="L890">
        <v>1</v>
      </c>
    </row>
    <row r="891" spans="1:12" x14ac:dyDescent="0.35">
      <c r="A891">
        <v>890</v>
      </c>
      <c r="B891" t="s">
        <v>13</v>
      </c>
      <c r="C891" t="s">
        <v>12</v>
      </c>
      <c r="D891" t="s">
        <v>15</v>
      </c>
      <c r="E891" t="str">
        <f>IF(logistics_classification_dataset__1[[#This Row],[Shipment_Type]]="Kara","Road",IF(logistics_classification_dataset__1[[#This Row],[Shipment_Type]]="Hava","Air",IF(logistics_classification_dataset__1[[#This Row],[Shipment_Type]]="Deniz","Sea")))</f>
        <v>Air</v>
      </c>
      <c r="F891">
        <v>1820.88</v>
      </c>
      <c r="G891" t="str">
        <f t="shared" si="26"/>
        <v>1501–2000</v>
      </c>
      <c r="H891" s="1">
        <v>1198.5999999999999</v>
      </c>
      <c r="I891" t="str">
        <f t="shared" si="27"/>
        <v>1001–1500</v>
      </c>
      <c r="J891" t="s">
        <v>11</v>
      </c>
      <c r="K891" t="str">
        <f>IF(logistics_classification_dataset__1[[#This Row],[Customer_Segment]]="Bireysel","Individual",IF(logistics_classification_dataset__1[[#This Row],[Customer_Segment]]="Kurumsal","Corporate"))</f>
        <v>Individual</v>
      </c>
      <c r="L891">
        <v>1</v>
      </c>
    </row>
    <row r="892" spans="1:12" x14ac:dyDescent="0.35">
      <c r="A892">
        <v>891</v>
      </c>
      <c r="B892" t="s">
        <v>22</v>
      </c>
      <c r="C892" t="s">
        <v>9</v>
      </c>
      <c r="D892" t="s">
        <v>10</v>
      </c>
      <c r="E892" t="str">
        <f>IF(logistics_classification_dataset__1[[#This Row],[Shipment_Type]]="Kara","Road",IF(logistics_classification_dataset__1[[#This Row],[Shipment_Type]]="Hava","Air",IF(logistics_classification_dataset__1[[#This Row],[Shipment_Type]]="Deniz","Sea")))</f>
        <v>Road</v>
      </c>
      <c r="F892">
        <v>1279.8699999999999</v>
      </c>
      <c r="G892" t="str">
        <f t="shared" si="26"/>
        <v>1001–1500</v>
      </c>
      <c r="H892" s="1">
        <v>1880.4</v>
      </c>
      <c r="I892" t="str">
        <f t="shared" si="27"/>
        <v>1501–2000</v>
      </c>
      <c r="J892" t="s">
        <v>14</v>
      </c>
      <c r="K892" t="str">
        <f>IF(logistics_classification_dataset__1[[#This Row],[Customer_Segment]]="Bireysel","Individual",IF(logistics_classification_dataset__1[[#This Row],[Customer_Segment]]="Kurumsal","Corporate"))</f>
        <v>Corporate</v>
      </c>
      <c r="L892">
        <v>1</v>
      </c>
    </row>
    <row r="893" spans="1:12" x14ac:dyDescent="0.35">
      <c r="A893">
        <v>892</v>
      </c>
      <c r="B893" t="s">
        <v>12</v>
      </c>
      <c r="C893" t="s">
        <v>21</v>
      </c>
      <c r="D893" t="s">
        <v>10</v>
      </c>
      <c r="E893" t="str">
        <f>IF(logistics_classification_dataset__1[[#This Row],[Shipment_Type]]="Kara","Road",IF(logistics_classification_dataset__1[[#This Row],[Shipment_Type]]="Hava","Air",IF(logistics_classification_dataset__1[[#This Row],[Shipment_Type]]="Deniz","Sea")))</f>
        <v>Road</v>
      </c>
      <c r="F893">
        <v>190.73</v>
      </c>
      <c r="G893" t="str">
        <f t="shared" si="26"/>
        <v>0–500</v>
      </c>
      <c r="H893" s="1">
        <v>732.2</v>
      </c>
      <c r="I893" t="str">
        <f t="shared" si="27"/>
        <v>501–1000</v>
      </c>
      <c r="J893" t="s">
        <v>11</v>
      </c>
      <c r="K893" t="str">
        <f>IF(logistics_classification_dataset__1[[#This Row],[Customer_Segment]]="Bireysel","Individual",IF(logistics_classification_dataset__1[[#This Row],[Customer_Segment]]="Kurumsal","Corporate"))</f>
        <v>Individual</v>
      </c>
      <c r="L893">
        <v>1</v>
      </c>
    </row>
    <row r="894" spans="1:12" x14ac:dyDescent="0.35">
      <c r="A894">
        <v>893</v>
      </c>
      <c r="B894" t="s">
        <v>9</v>
      </c>
      <c r="C894" t="s">
        <v>16</v>
      </c>
      <c r="D894" t="s">
        <v>15</v>
      </c>
      <c r="E894" t="str">
        <f>IF(logistics_classification_dataset__1[[#This Row],[Shipment_Type]]="Kara","Road",IF(logistics_classification_dataset__1[[#This Row],[Shipment_Type]]="Hava","Air",IF(logistics_classification_dataset__1[[#This Row],[Shipment_Type]]="Deniz","Sea")))</f>
        <v>Air</v>
      </c>
      <c r="F894">
        <v>1763.82</v>
      </c>
      <c r="G894" t="str">
        <f t="shared" si="26"/>
        <v>1501–2000</v>
      </c>
      <c r="H894" s="1">
        <v>525.4</v>
      </c>
      <c r="I894" t="str">
        <f t="shared" si="27"/>
        <v>501–1000</v>
      </c>
      <c r="J894" t="s">
        <v>11</v>
      </c>
      <c r="K894" t="str">
        <f>IF(logistics_classification_dataset__1[[#This Row],[Customer_Segment]]="Bireysel","Individual",IF(logistics_classification_dataset__1[[#This Row],[Customer_Segment]]="Kurumsal","Corporate"))</f>
        <v>Individual</v>
      </c>
      <c r="L894">
        <v>1</v>
      </c>
    </row>
    <row r="895" spans="1:12" x14ac:dyDescent="0.35">
      <c r="A895">
        <v>894</v>
      </c>
      <c r="B895" t="s">
        <v>16</v>
      </c>
      <c r="C895" t="s">
        <v>17</v>
      </c>
      <c r="D895" t="s">
        <v>10</v>
      </c>
      <c r="E895" t="str">
        <f>IF(logistics_classification_dataset__1[[#This Row],[Shipment_Type]]="Kara","Road",IF(logistics_classification_dataset__1[[#This Row],[Shipment_Type]]="Hava","Air",IF(logistics_classification_dataset__1[[#This Row],[Shipment_Type]]="Deniz","Sea")))</f>
        <v>Road</v>
      </c>
      <c r="F895">
        <v>1171.08</v>
      </c>
      <c r="G895" t="str">
        <f t="shared" si="26"/>
        <v>1001–1500</v>
      </c>
      <c r="H895" s="1">
        <v>1329</v>
      </c>
      <c r="I895" t="str">
        <f t="shared" si="27"/>
        <v>1001–1500</v>
      </c>
      <c r="J895" t="s">
        <v>14</v>
      </c>
      <c r="K895" t="str">
        <f>IF(logistics_classification_dataset__1[[#This Row],[Customer_Segment]]="Bireysel","Individual",IF(logistics_classification_dataset__1[[#This Row],[Customer_Segment]]="Kurumsal","Corporate"))</f>
        <v>Corporate</v>
      </c>
      <c r="L895">
        <v>1</v>
      </c>
    </row>
    <row r="896" spans="1:12" x14ac:dyDescent="0.35">
      <c r="A896">
        <v>895</v>
      </c>
      <c r="B896" t="s">
        <v>20</v>
      </c>
      <c r="C896" t="s">
        <v>17</v>
      </c>
      <c r="D896" t="s">
        <v>10</v>
      </c>
      <c r="E896" t="str">
        <f>IF(logistics_classification_dataset__1[[#This Row],[Shipment_Type]]="Kara","Road",IF(logistics_classification_dataset__1[[#This Row],[Shipment_Type]]="Hava","Air",IF(logistics_classification_dataset__1[[#This Row],[Shipment_Type]]="Deniz","Sea")))</f>
        <v>Road</v>
      </c>
      <c r="F896">
        <v>1668.41</v>
      </c>
      <c r="G896" t="str">
        <f t="shared" si="26"/>
        <v>1501–2000</v>
      </c>
      <c r="H896" s="1">
        <v>437.7</v>
      </c>
      <c r="I896" t="str">
        <f t="shared" si="27"/>
        <v>0–500</v>
      </c>
      <c r="J896" t="s">
        <v>14</v>
      </c>
      <c r="K896" t="str">
        <f>IF(logistics_classification_dataset__1[[#This Row],[Customer_Segment]]="Bireysel","Individual",IF(logistics_classification_dataset__1[[#This Row],[Customer_Segment]]="Kurumsal","Corporate"))</f>
        <v>Corporate</v>
      </c>
      <c r="L896">
        <v>1</v>
      </c>
    </row>
    <row r="897" spans="1:12" x14ac:dyDescent="0.35">
      <c r="A897">
        <v>896</v>
      </c>
      <c r="B897" t="s">
        <v>9</v>
      </c>
      <c r="C897" t="s">
        <v>16</v>
      </c>
      <c r="D897" t="s">
        <v>19</v>
      </c>
      <c r="E897" t="str">
        <f>IF(logistics_classification_dataset__1[[#This Row],[Shipment_Type]]="Kara","Road",IF(logistics_classification_dataset__1[[#This Row],[Shipment_Type]]="Hava","Air",IF(logistics_classification_dataset__1[[#This Row],[Shipment_Type]]="Deniz","Sea")))</f>
        <v>Sea</v>
      </c>
      <c r="F897">
        <v>1286.94</v>
      </c>
      <c r="G897" t="str">
        <f t="shared" si="26"/>
        <v>1001–1500</v>
      </c>
      <c r="H897" s="1">
        <v>664.3</v>
      </c>
      <c r="I897" t="str">
        <f t="shared" si="27"/>
        <v>501–1000</v>
      </c>
      <c r="J897" t="s">
        <v>14</v>
      </c>
      <c r="K897" t="str">
        <f>IF(logistics_classification_dataset__1[[#This Row],[Customer_Segment]]="Bireysel","Individual",IF(logistics_classification_dataset__1[[#This Row],[Customer_Segment]]="Kurumsal","Corporate"))</f>
        <v>Corporate</v>
      </c>
      <c r="L897">
        <v>1</v>
      </c>
    </row>
    <row r="898" spans="1:12" x14ac:dyDescent="0.35">
      <c r="A898">
        <v>897</v>
      </c>
      <c r="B898" t="s">
        <v>20</v>
      </c>
      <c r="C898" t="s">
        <v>22</v>
      </c>
      <c r="D898" t="s">
        <v>19</v>
      </c>
      <c r="E898" t="str">
        <f>IF(logistics_classification_dataset__1[[#This Row],[Shipment_Type]]="Kara","Road",IF(logistics_classification_dataset__1[[#This Row],[Shipment_Type]]="Hava","Air",IF(logistics_classification_dataset__1[[#This Row],[Shipment_Type]]="Deniz","Sea")))</f>
        <v>Sea</v>
      </c>
      <c r="F898">
        <v>161.72</v>
      </c>
      <c r="G898" t="str">
        <f t="shared" ref="G898:G961" si="28">IF(F898&lt;=500,"0–500",IF(F898&lt;=1000,"501–1000",IF(F898&lt;=1500,"1001–1500","1501–2000")))</f>
        <v>0–500</v>
      </c>
      <c r="H898" s="1">
        <v>488</v>
      </c>
      <c r="I898" t="str">
        <f t="shared" ref="I898:I961" si="29">IF(H898&lt;=500,"0–500",IF(H898&lt;=1000,"501–1000",IF(H898&lt;=1500,"1001–1500",IF(H898&lt;=2000,"1501–2000","&gt;2000"))))</f>
        <v>0–500</v>
      </c>
      <c r="J898" t="s">
        <v>14</v>
      </c>
      <c r="K898" t="str">
        <f>IF(logistics_classification_dataset__1[[#This Row],[Customer_Segment]]="Bireysel","Individual",IF(logistics_classification_dataset__1[[#This Row],[Customer_Segment]]="Kurumsal","Corporate"))</f>
        <v>Corporate</v>
      </c>
      <c r="L898">
        <v>0</v>
      </c>
    </row>
    <row r="899" spans="1:12" x14ac:dyDescent="0.35">
      <c r="A899">
        <v>898</v>
      </c>
      <c r="B899" t="s">
        <v>13</v>
      </c>
      <c r="C899" t="s">
        <v>16</v>
      </c>
      <c r="D899" t="s">
        <v>10</v>
      </c>
      <c r="E899" t="str">
        <f>IF(logistics_classification_dataset__1[[#This Row],[Shipment_Type]]="Kara","Road",IF(logistics_classification_dataset__1[[#This Row],[Shipment_Type]]="Hava","Air",IF(logistics_classification_dataset__1[[#This Row],[Shipment_Type]]="Deniz","Sea")))</f>
        <v>Road</v>
      </c>
      <c r="F899">
        <v>1482.43</v>
      </c>
      <c r="G899" t="str">
        <f t="shared" si="28"/>
        <v>1001–1500</v>
      </c>
      <c r="H899" s="1">
        <v>184.8</v>
      </c>
      <c r="I899" t="str">
        <f t="shared" si="29"/>
        <v>0–500</v>
      </c>
      <c r="J899" t="s">
        <v>14</v>
      </c>
      <c r="K899" t="str">
        <f>IF(logistics_classification_dataset__1[[#This Row],[Customer_Segment]]="Bireysel","Individual",IF(logistics_classification_dataset__1[[#This Row],[Customer_Segment]]="Kurumsal","Corporate"))</f>
        <v>Corporate</v>
      </c>
      <c r="L899">
        <v>1</v>
      </c>
    </row>
    <row r="900" spans="1:12" x14ac:dyDescent="0.35">
      <c r="A900">
        <v>899</v>
      </c>
      <c r="B900" t="s">
        <v>21</v>
      </c>
      <c r="C900" t="s">
        <v>12</v>
      </c>
      <c r="D900" t="s">
        <v>10</v>
      </c>
      <c r="E900" t="str">
        <f>IF(logistics_classification_dataset__1[[#This Row],[Shipment_Type]]="Kara","Road",IF(logistics_classification_dataset__1[[#This Row],[Shipment_Type]]="Hava","Air",IF(logistics_classification_dataset__1[[#This Row],[Shipment_Type]]="Deniz","Sea")))</f>
        <v>Road</v>
      </c>
      <c r="F900">
        <v>194.34</v>
      </c>
      <c r="G900" t="str">
        <f t="shared" si="28"/>
        <v>0–500</v>
      </c>
      <c r="H900" s="1">
        <v>1663.6</v>
      </c>
      <c r="I900" t="str">
        <f t="shared" si="29"/>
        <v>1501–2000</v>
      </c>
      <c r="J900" t="s">
        <v>11</v>
      </c>
      <c r="K900" t="str">
        <f>IF(logistics_classification_dataset__1[[#This Row],[Customer_Segment]]="Bireysel","Individual",IF(logistics_classification_dataset__1[[#This Row],[Customer_Segment]]="Kurumsal","Corporate"))</f>
        <v>Individual</v>
      </c>
      <c r="L900">
        <v>1</v>
      </c>
    </row>
    <row r="901" spans="1:12" x14ac:dyDescent="0.35">
      <c r="A901">
        <v>900</v>
      </c>
      <c r="B901" t="s">
        <v>8</v>
      </c>
      <c r="C901" t="s">
        <v>13</v>
      </c>
      <c r="D901" t="s">
        <v>15</v>
      </c>
      <c r="E901" t="str">
        <f>IF(logistics_classification_dataset__1[[#This Row],[Shipment_Type]]="Kara","Road",IF(logistics_classification_dataset__1[[#This Row],[Shipment_Type]]="Hava","Air",IF(logistics_classification_dataset__1[[#This Row],[Shipment_Type]]="Deniz","Sea")))</f>
        <v>Air</v>
      </c>
      <c r="F901">
        <v>119.02</v>
      </c>
      <c r="G901" t="str">
        <f t="shared" si="28"/>
        <v>0–500</v>
      </c>
      <c r="H901" s="1">
        <v>546.4</v>
      </c>
      <c r="I901" t="str">
        <f t="shared" si="29"/>
        <v>501–1000</v>
      </c>
      <c r="J901" t="s">
        <v>11</v>
      </c>
      <c r="K901" t="str">
        <f>IF(logistics_classification_dataset__1[[#This Row],[Customer_Segment]]="Bireysel","Individual",IF(logistics_classification_dataset__1[[#This Row],[Customer_Segment]]="Kurumsal","Corporate"))</f>
        <v>Individual</v>
      </c>
      <c r="L901">
        <v>1</v>
      </c>
    </row>
    <row r="902" spans="1:12" x14ac:dyDescent="0.35">
      <c r="A902">
        <v>901</v>
      </c>
      <c r="B902" t="s">
        <v>18</v>
      </c>
      <c r="C902" t="s">
        <v>21</v>
      </c>
      <c r="D902" t="s">
        <v>10</v>
      </c>
      <c r="E902" t="str">
        <f>IF(logistics_classification_dataset__1[[#This Row],[Shipment_Type]]="Kara","Road",IF(logistics_classification_dataset__1[[#This Row],[Shipment_Type]]="Hava","Air",IF(logistics_classification_dataset__1[[#This Row],[Shipment_Type]]="Deniz","Sea")))</f>
        <v>Road</v>
      </c>
      <c r="F902">
        <v>1406.77</v>
      </c>
      <c r="G902" t="str">
        <f t="shared" si="28"/>
        <v>1001–1500</v>
      </c>
      <c r="H902" s="1">
        <v>972.4</v>
      </c>
      <c r="I902" t="str">
        <f t="shared" si="29"/>
        <v>501–1000</v>
      </c>
      <c r="J902" t="s">
        <v>11</v>
      </c>
      <c r="K902" t="str">
        <f>IF(logistics_classification_dataset__1[[#This Row],[Customer_Segment]]="Bireysel","Individual",IF(logistics_classification_dataset__1[[#This Row],[Customer_Segment]]="Kurumsal","Corporate"))</f>
        <v>Individual</v>
      </c>
      <c r="L902">
        <v>1</v>
      </c>
    </row>
    <row r="903" spans="1:12" x14ac:dyDescent="0.35">
      <c r="A903">
        <v>902</v>
      </c>
      <c r="B903" t="s">
        <v>9</v>
      </c>
      <c r="C903" t="s">
        <v>22</v>
      </c>
      <c r="D903" t="s">
        <v>10</v>
      </c>
      <c r="E903" t="str">
        <f>IF(logistics_classification_dataset__1[[#This Row],[Shipment_Type]]="Kara","Road",IF(logistics_classification_dataset__1[[#This Row],[Shipment_Type]]="Hava","Air",IF(logistics_classification_dataset__1[[#This Row],[Shipment_Type]]="Deniz","Sea")))</f>
        <v>Road</v>
      </c>
      <c r="F903">
        <v>137.72</v>
      </c>
      <c r="G903" t="str">
        <f t="shared" si="28"/>
        <v>0–500</v>
      </c>
      <c r="H903" s="1">
        <v>134.5</v>
      </c>
      <c r="I903" t="str">
        <f t="shared" si="29"/>
        <v>0–500</v>
      </c>
      <c r="J903" t="s">
        <v>11</v>
      </c>
      <c r="K903" t="str">
        <f>IF(logistics_classification_dataset__1[[#This Row],[Customer_Segment]]="Bireysel","Individual",IF(logistics_classification_dataset__1[[#This Row],[Customer_Segment]]="Kurumsal","Corporate"))</f>
        <v>Individual</v>
      </c>
      <c r="L903">
        <v>1</v>
      </c>
    </row>
    <row r="904" spans="1:12" x14ac:dyDescent="0.35">
      <c r="A904">
        <v>903</v>
      </c>
      <c r="B904" t="s">
        <v>16</v>
      </c>
      <c r="C904" t="s">
        <v>21</v>
      </c>
      <c r="D904" t="s">
        <v>10</v>
      </c>
      <c r="E904" t="str">
        <f>IF(logistics_classification_dataset__1[[#This Row],[Shipment_Type]]="Kara","Road",IF(logistics_classification_dataset__1[[#This Row],[Shipment_Type]]="Hava","Air",IF(logistics_classification_dataset__1[[#This Row],[Shipment_Type]]="Deniz","Sea")))</f>
        <v>Road</v>
      </c>
      <c r="F904">
        <v>465.44</v>
      </c>
      <c r="G904" t="str">
        <f t="shared" si="28"/>
        <v>0–500</v>
      </c>
      <c r="H904" s="1">
        <v>1413.7</v>
      </c>
      <c r="I904" t="str">
        <f t="shared" si="29"/>
        <v>1001–1500</v>
      </c>
      <c r="J904" t="s">
        <v>11</v>
      </c>
      <c r="K904" t="str">
        <f>IF(logistics_classification_dataset__1[[#This Row],[Customer_Segment]]="Bireysel","Individual",IF(logistics_classification_dataset__1[[#This Row],[Customer_Segment]]="Kurumsal","Corporate"))</f>
        <v>Individual</v>
      </c>
      <c r="L904">
        <v>1</v>
      </c>
    </row>
    <row r="905" spans="1:12" x14ac:dyDescent="0.35">
      <c r="A905">
        <v>904</v>
      </c>
      <c r="B905" t="s">
        <v>22</v>
      </c>
      <c r="C905" t="s">
        <v>8</v>
      </c>
      <c r="D905" t="s">
        <v>10</v>
      </c>
      <c r="E905" t="str">
        <f>IF(logistics_classification_dataset__1[[#This Row],[Shipment_Type]]="Kara","Road",IF(logistics_classification_dataset__1[[#This Row],[Shipment_Type]]="Hava","Air",IF(logistics_classification_dataset__1[[#This Row],[Shipment_Type]]="Deniz","Sea")))</f>
        <v>Road</v>
      </c>
      <c r="F905">
        <v>1831.77</v>
      </c>
      <c r="G905" t="str">
        <f t="shared" si="28"/>
        <v>1501–2000</v>
      </c>
      <c r="H905" s="1">
        <v>694.6</v>
      </c>
      <c r="I905" t="str">
        <f t="shared" si="29"/>
        <v>501–1000</v>
      </c>
      <c r="J905" t="s">
        <v>11</v>
      </c>
      <c r="K905" t="str">
        <f>IF(logistics_classification_dataset__1[[#This Row],[Customer_Segment]]="Bireysel","Individual",IF(logistics_classification_dataset__1[[#This Row],[Customer_Segment]]="Kurumsal","Corporate"))</f>
        <v>Individual</v>
      </c>
      <c r="L905">
        <v>1</v>
      </c>
    </row>
    <row r="906" spans="1:12" x14ac:dyDescent="0.35">
      <c r="A906">
        <v>905</v>
      </c>
      <c r="B906" t="s">
        <v>16</v>
      </c>
      <c r="C906" t="s">
        <v>8</v>
      </c>
      <c r="D906" t="s">
        <v>10</v>
      </c>
      <c r="E906" t="str">
        <f>IF(logistics_classification_dataset__1[[#This Row],[Shipment_Type]]="Kara","Road",IF(logistics_classification_dataset__1[[#This Row],[Shipment_Type]]="Hava","Air",IF(logistics_classification_dataset__1[[#This Row],[Shipment_Type]]="Deniz","Sea")))</f>
        <v>Road</v>
      </c>
      <c r="F906">
        <v>1234.55</v>
      </c>
      <c r="G906" t="str">
        <f t="shared" si="28"/>
        <v>1001–1500</v>
      </c>
      <c r="H906" s="1">
        <v>1502.2</v>
      </c>
      <c r="I906" t="str">
        <f t="shared" si="29"/>
        <v>1501–2000</v>
      </c>
      <c r="J906" t="s">
        <v>11</v>
      </c>
      <c r="K906" t="str">
        <f>IF(logistics_classification_dataset__1[[#This Row],[Customer_Segment]]="Bireysel","Individual",IF(logistics_classification_dataset__1[[#This Row],[Customer_Segment]]="Kurumsal","Corporate"))</f>
        <v>Individual</v>
      </c>
      <c r="L906">
        <v>1</v>
      </c>
    </row>
    <row r="907" spans="1:12" x14ac:dyDescent="0.35">
      <c r="A907">
        <v>906</v>
      </c>
      <c r="B907" t="s">
        <v>13</v>
      </c>
      <c r="C907" t="s">
        <v>16</v>
      </c>
      <c r="D907" t="s">
        <v>10</v>
      </c>
      <c r="E907" t="str">
        <f>IF(logistics_classification_dataset__1[[#This Row],[Shipment_Type]]="Kara","Road",IF(logistics_classification_dataset__1[[#This Row],[Shipment_Type]]="Hava","Air",IF(logistics_classification_dataset__1[[#This Row],[Shipment_Type]]="Deniz","Sea")))</f>
        <v>Road</v>
      </c>
      <c r="F907">
        <v>496.34</v>
      </c>
      <c r="G907" t="str">
        <f t="shared" si="28"/>
        <v>0–500</v>
      </c>
      <c r="H907" s="1">
        <v>854.2</v>
      </c>
      <c r="I907" t="str">
        <f t="shared" si="29"/>
        <v>501–1000</v>
      </c>
      <c r="J907" t="s">
        <v>11</v>
      </c>
      <c r="K907" t="str">
        <f>IF(logistics_classification_dataset__1[[#This Row],[Customer_Segment]]="Bireysel","Individual",IF(logistics_classification_dataset__1[[#This Row],[Customer_Segment]]="Kurumsal","Corporate"))</f>
        <v>Individual</v>
      </c>
      <c r="L907">
        <v>1</v>
      </c>
    </row>
    <row r="908" spans="1:12" x14ac:dyDescent="0.35">
      <c r="A908">
        <v>907</v>
      </c>
      <c r="B908" t="s">
        <v>20</v>
      </c>
      <c r="C908" t="s">
        <v>17</v>
      </c>
      <c r="D908" t="s">
        <v>15</v>
      </c>
      <c r="E908" t="str">
        <f>IF(logistics_classification_dataset__1[[#This Row],[Shipment_Type]]="Kara","Road",IF(logistics_classification_dataset__1[[#This Row],[Shipment_Type]]="Hava","Air",IF(logistics_classification_dataset__1[[#This Row],[Shipment_Type]]="Deniz","Sea")))</f>
        <v>Air</v>
      </c>
      <c r="F908">
        <v>1382.91</v>
      </c>
      <c r="G908" t="str">
        <f t="shared" si="28"/>
        <v>1001–1500</v>
      </c>
      <c r="H908" s="1">
        <v>431.7</v>
      </c>
      <c r="I908" t="str">
        <f t="shared" si="29"/>
        <v>0–500</v>
      </c>
      <c r="J908" t="s">
        <v>11</v>
      </c>
      <c r="K908" t="str">
        <f>IF(logistics_classification_dataset__1[[#This Row],[Customer_Segment]]="Bireysel","Individual",IF(logistics_classification_dataset__1[[#This Row],[Customer_Segment]]="Kurumsal","Corporate"))</f>
        <v>Individual</v>
      </c>
      <c r="L908">
        <v>1</v>
      </c>
    </row>
    <row r="909" spans="1:12" x14ac:dyDescent="0.35">
      <c r="A909">
        <v>908</v>
      </c>
      <c r="B909" t="s">
        <v>22</v>
      </c>
      <c r="C909" t="s">
        <v>12</v>
      </c>
      <c r="D909" t="s">
        <v>19</v>
      </c>
      <c r="E909" t="str">
        <f>IF(logistics_classification_dataset__1[[#This Row],[Shipment_Type]]="Kara","Road",IF(logistics_classification_dataset__1[[#This Row],[Shipment_Type]]="Hava","Air",IF(logistics_classification_dataset__1[[#This Row],[Shipment_Type]]="Deniz","Sea")))</f>
        <v>Sea</v>
      </c>
      <c r="F909">
        <v>1195.57</v>
      </c>
      <c r="G909" t="str">
        <f t="shared" si="28"/>
        <v>1001–1500</v>
      </c>
      <c r="H909" s="1">
        <v>1050.7</v>
      </c>
      <c r="I909" t="str">
        <f t="shared" si="29"/>
        <v>1001–1500</v>
      </c>
      <c r="J909" t="s">
        <v>11</v>
      </c>
      <c r="K909" t="str">
        <f>IF(logistics_classification_dataset__1[[#This Row],[Customer_Segment]]="Bireysel","Individual",IF(logistics_classification_dataset__1[[#This Row],[Customer_Segment]]="Kurumsal","Corporate"))</f>
        <v>Individual</v>
      </c>
      <c r="L909">
        <v>1</v>
      </c>
    </row>
    <row r="910" spans="1:12" x14ac:dyDescent="0.35">
      <c r="A910">
        <v>909</v>
      </c>
      <c r="B910" t="s">
        <v>18</v>
      </c>
      <c r="C910" t="s">
        <v>16</v>
      </c>
      <c r="D910" t="s">
        <v>10</v>
      </c>
      <c r="E910" t="str">
        <f>IF(logistics_classification_dataset__1[[#This Row],[Shipment_Type]]="Kara","Road",IF(logistics_classification_dataset__1[[#This Row],[Shipment_Type]]="Hava","Air",IF(logistics_classification_dataset__1[[#This Row],[Shipment_Type]]="Deniz","Sea")))</f>
        <v>Road</v>
      </c>
      <c r="F910">
        <v>1005.64</v>
      </c>
      <c r="G910" t="str">
        <f t="shared" si="28"/>
        <v>1001–1500</v>
      </c>
      <c r="H910" s="1">
        <v>304.5</v>
      </c>
      <c r="I910" t="str">
        <f t="shared" si="29"/>
        <v>0–500</v>
      </c>
      <c r="J910" t="s">
        <v>11</v>
      </c>
      <c r="K910" t="str">
        <f>IF(logistics_classification_dataset__1[[#This Row],[Customer_Segment]]="Bireysel","Individual",IF(logistics_classification_dataset__1[[#This Row],[Customer_Segment]]="Kurumsal","Corporate"))</f>
        <v>Individual</v>
      </c>
      <c r="L910">
        <v>0</v>
      </c>
    </row>
    <row r="911" spans="1:12" x14ac:dyDescent="0.35">
      <c r="A911">
        <v>910</v>
      </c>
      <c r="B911" t="s">
        <v>18</v>
      </c>
      <c r="C911" t="s">
        <v>12</v>
      </c>
      <c r="D911" t="s">
        <v>15</v>
      </c>
      <c r="E911" t="str">
        <f>IF(logistics_classification_dataset__1[[#This Row],[Shipment_Type]]="Kara","Road",IF(logistics_classification_dataset__1[[#This Row],[Shipment_Type]]="Hava","Air",IF(logistics_classification_dataset__1[[#This Row],[Shipment_Type]]="Deniz","Sea")))</f>
        <v>Air</v>
      </c>
      <c r="F911">
        <v>1952.49</v>
      </c>
      <c r="G911" t="str">
        <f t="shared" si="28"/>
        <v>1501–2000</v>
      </c>
      <c r="H911" s="1">
        <v>909.1</v>
      </c>
      <c r="I911" t="str">
        <f t="shared" si="29"/>
        <v>501–1000</v>
      </c>
      <c r="J911" t="s">
        <v>14</v>
      </c>
      <c r="K911" t="str">
        <f>IF(logistics_classification_dataset__1[[#This Row],[Customer_Segment]]="Bireysel","Individual",IF(logistics_classification_dataset__1[[#This Row],[Customer_Segment]]="Kurumsal","Corporate"))</f>
        <v>Corporate</v>
      </c>
      <c r="L911">
        <v>1</v>
      </c>
    </row>
    <row r="912" spans="1:12" x14ac:dyDescent="0.35">
      <c r="A912">
        <v>911</v>
      </c>
      <c r="B912" t="s">
        <v>9</v>
      </c>
      <c r="C912" t="s">
        <v>16</v>
      </c>
      <c r="D912" t="s">
        <v>15</v>
      </c>
      <c r="E912" t="str">
        <f>IF(logistics_classification_dataset__1[[#This Row],[Shipment_Type]]="Kara","Road",IF(logistics_classification_dataset__1[[#This Row],[Shipment_Type]]="Hava","Air",IF(logistics_classification_dataset__1[[#This Row],[Shipment_Type]]="Deniz","Sea")))</f>
        <v>Air</v>
      </c>
      <c r="F912">
        <v>1368.49</v>
      </c>
      <c r="G912" t="str">
        <f t="shared" si="28"/>
        <v>1001–1500</v>
      </c>
      <c r="H912" s="1">
        <v>668.7</v>
      </c>
      <c r="I912" t="str">
        <f t="shared" si="29"/>
        <v>501–1000</v>
      </c>
      <c r="J912" t="s">
        <v>11</v>
      </c>
      <c r="K912" t="str">
        <f>IF(logistics_classification_dataset__1[[#This Row],[Customer_Segment]]="Bireysel","Individual",IF(logistics_classification_dataset__1[[#This Row],[Customer_Segment]]="Kurumsal","Corporate"))</f>
        <v>Individual</v>
      </c>
      <c r="L912">
        <v>1</v>
      </c>
    </row>
    <row r="913" spans="1:12" x14ac:dyDescent="0.35">
      <c r="A913">
        <v>912</v>
      </c>
      <c r="B913" t="s">
        <v>13</v>
      </c>
      <c r="C913" t="s">
        <v>21</v>
      </c>
      <c r="D913" t="s">
        <v>10</v>
      </c>
      <c r="E913" t="str">
        <f>IF(logistics_classification_dataset__1[[#This Row],[Shipment_Type]]="Kara","Road",IF(logistics_classification_dataset__1[[#This Row],[Shipment_Type]]="Hava","Air",IF(logistics_classification_dataset__1[[#This Row],[Shipment_Type]]="Deniz","Sea")))</f>
        <v>Road</v>
      </c>
      <c r="F913">
        <v>754.01</v>
      </c>
      <c r="G913" t="str">
        <f t="shared" si="28"/>
        <v>501–1000</v>
      </c>
      <c r="H913" s="1">
        <v>1828.3</v>
      </c>
      <c r="I913" t="str">
        <f t="shared" si="29"/>
        <v>1501–2000</v>
      </c>
      <c r="J913" t="s">
        <v>11</v>
      </c>
      <c r="K913" t="str">
        <f>IF(logistics_classification_dataset__1[[#This Row],[Customer_Segment]]="Bireysel","Individual",IF(logistics_classification_dataset__1[[#This Row],[Customer_Segment]]="Kurumsal","Corporate"))</f>
        <v>Individual</v>
      </c>
      <c r="L913">
        <v>1</v>
      </c>
    </row>
    <row r="914" spans="1:12" x14ac:dyDescent="0.35">
      <c r="A914">
        <v>913</v>
      </c>
      <c r="B914" t="s">
        <v>21</v>
      </c>
      <c r="C914" t="s">
        <v>18</v>
      </c>
      <c r="D914" t="s">
        <v>10</v>
      </c>
      <c r="E914" t="str">
        <f>IF(logistics_classification_dataset__1[[#This Row],[Shipment_Type]]="Kara","Road",IF(logistics_classification_dataset__1[[#This Row],[Shipment_Type]]="Hava","Air",IF(logistics_classification_dataset__1[[#This Row],[Shipment_Type]]="Deniz","Sea")))</f>
        <v>Road</v>
      </c>
      <c r="F914">
        <v>1601.15</v>
      </c>
      <c r="G914" t="str">
        <f t="shared" si="28"/>
        <v>1501–2000</v>
      </c>
      <c r="H914" s="1">
        <v>168.8</v>
      </c>
      <c r="I914" t="str">
        <f t="shared" si="29"/>
        <v>0–500</v>
      </c>
      <c r="J914" t="s">
        <v>14</v>
      </c>
      <c r="K914" t="str">
        <f>IF(logistics_classification_dataset__1[[#This Row],[Customer_Segment]]="Bireysel","Individual",IF(logistics_classification_dataset__1[[#This Row],[Customer_Segment]]="Kurumsal","Corporate"))</f>
        <v>Corporate</v>
      </c>
      <c r="L914">
        <v>0</v>
      </c>
    </row>
    <row r="915" spans="1:12" x14ac:dyDescent="0.35">
      <c r="A915">
        <v>914</v>
      </c>
      <c r="B915" t="s">
        <v>13</v>
      </c>
      <c r="C915" t="s">
        <v>22</v>
      </c>
      <c r="D915" t="s">
        <v>15</v>
      </c>
      <c r="E915" t="str">
        <f>IF(logistics_classification_dataset__1[[#This Row],[Shipment_Type]]="Kara","Road",IF(logistics_classification_dataset__1[[#This Row],[Shipment_Type]]="Hava","Air",IF(logistics_classification_dataset__1[[#This Row],[Shipment_Type]]="Deniz","Sea")))</f>
        <v>Air</v>
      </c>
      <c r="F915">
        <v>1769.74</v>
      </c>
      <c r="G915" t="str">
        <f t="shared" si="28"/>
        <v>1501–2000</v>
      </c>
      <c r="H915" s="1">
        <v>1403.3</v>
      </c>
      <c r="I915" t="str">
        <f t="shared" si="29"/>
        <v>1001–1500</v>
      </c>
      <c r="J915" t="s">
        <v>11</v>
      </c>
      <c r="K915" t="str">
        <f>IF(logistics_classification_dataset__1[[#This Row],[Customer_Segment]]="Bireysel","Individual",IF(logistics_classification_dataset__1[[#This Row],[Customer_Segment]]="Kurumsal","Corporate"))</f>
        <v>Individual</v>
      </c>
      <c r="L915">
        <v>1</v>
      </c>
    </row>
    <row r="916" spans="1:12" x14ac:dyDescent="0.35">
      <c r="A916">
        <v>915</v>
      </c>
      <c r="B916" t="s">
        <v>20</v>
      </c>
      <c r="C916" t="s">
        <v>12</v>
      </c>
      <c r="D916" t="s">
        <v>10</v>
      </c>
      <c r="E916" t="str">
        <f>IF(logistics_classification_dataset__1[[#This Row],[Shipment_Type]]="Kara","Road",IF(logistics_classification_dataset__1[[#This Row],[Shipment_Type]]="Hava","Air",IF(logistics_classification_dataset__1[[#This Row],[Shipment_Type]]="Deniz","Sea")))</f>
        <v>Road</v>
      </c>
      <c r="F916">
        <v>254.82</v>
      </c>
      <c r="G916" t="str">
        <f t="shared" si="28"/>
        <v>0–500</v>
      </c>
      <c r="H916" s="1">
        <v>406.4</v>
      </c>
      <c r="I916" t="str">
        <f t="shared" si="29"/>
        <v>0–500</v>
      </c>
      <c r="J916" t="s">
        <v>11</v>
      </c>
      <c r="K916" t="str">
        <f>IF(logistics_classification_dataset__1[[#This Row],[Customer_Segment]]="Bireysel","Individual",IF(logistics_classification_dataset__1[[#This Row],[Customer_Segment]]="Kurumsal","Corporate"))</f>
        <v>Individual</v>
      </c>
      <c r="L916">
        <v>0</v>
      </c>
    </row>
    <row r="917" spans="1:12" x14ac:dyDescent="0.35">
      <c r="A917">
        <v>916</v>
      </c>
      <c r="B917" t="s">
        <v>16</v>
      </c>
      <c r="C917" t="s">
        <v>9</v>
      </c>
      <c r="D917" t="s">
        <v>15</v>
      </c>
      <c r="E917" t="str">
        <f>IF(logistics_classification_dataset__1[[#This Row],[Shipment_Type]]="Kara","Road",IF(logistics_classification_dataset__1[[#This Row],[Shipment_Type]]="Hava","Air",IF(logistics_classification_dataset__1[[#This Row],[Shipment_Type]]="Deniz","Sea")))</f>
        <v>Air</v>
      </c>
      <c r="F917">
        <v>40.51</v>
      </c>
      <c r="G917" t="str">
        <f t="shared" si="28"/>
        <v>0–500</v>
      </c>
      <c r="H917" s="1">
        <v>672.1</v>
      </c>
      <c r="I917" t="str">
        <f t="shared" si="29"/>
        <v>501–1000</v>
      </c>
      <c r="J917" t="s">
        <v>11</v>
      </c>
      <c r="K917" t="str">
        <f>IF(logistics_classification_dataset__1[[#This Row],[Customer_Segment]]="Bireysel","Individual",IF(logistics_classification_dataset__1[[#This Row],[Customer_Segment]]="Kurumsal","Corporate"))</f>
        <v>Individual</v>
      </c>
      <c r="L917">
        <v>1</v>
      </c>
    </row>
    <row r="918" spans="1:12" x14ac:dyDescent="0.35">
      <c r="A918">
        <v>917</v>
      </c>
      <c r="B918" t="s">
        <v>18</v>
      </c>
      <c r="C918" t="s">
        <v>12</v>
      </c>
      <c r="D918" t="s">
        <v>10</v>
      </c>
      <c r="E918" t="str">
        <f>IF(logistics_classification_dataset__1[[#This Row],[Shipment_Type]]="Kara","Road",IF(logistics_classification_dataset__1[[#This Row],[Shipment_Type]]="Hava","Air",IF(logistics_classification_dataset__1[[#This Row],[Shipment_Type]]="Deniz","Sea")))</f>
        <v>Road</v>
      </c>
      <c r="F918">
        <v>436.37</v>
      </c>
      <c r="G918" t="str">
        <f t="shared" si="28"/>
        <v>0–500</v>
      </c>
      <c r="H918" s="1">
        <v>860.3</v>
      </c>
      <c r="I918" t="str">
        <f t="shared" si="29"/>
        <v>501–1000</v>
      </c>
      <c r="J918" t="s">
        <v>11</v>
      </c>
      <c r="K918" t="str">
        <f>IF(logistics_classification_dataset__1[[#This Row],[Customer_Segment]]="Bireysel","Individual",IF(logistics_classification_dataset__1[[#This Row],[Customer_Segment]]="Kurumsal","Corporate"))</f>
        <v>Individual</v>
      </c>
      <c r="L918">
        <v>1</v>
      </c>
    </row>
    <row r="919" spans="1:12" x14ac:dyDescent="0.35">
      <c r="A919">
        <v>918</v>
      </c>
      <c r="B919" t="s">
        <v>16</v>
      </c>
      <c r="C919" t="s">
        <v>18</v>
      </c>
      <c r="D919" t="s">
        <v>19</v>
      </c>
      <c r="E919" t="str">
        <f>IF(logistics_classification_dataset__1[[#This Row],[Shipment_Type]]="Kara","Road",IF(logistics_classification_dataset__1[[#This Row],[Shipment_Type]]="Hava","Air",IF(logistics_classification_dataset__1[[#This Row],[Shipment_Type]]="Deniz","Sea")))</f>
        <v>Sea</v>
      </c>
      <c r="F919">
        <v>1383.97</v>
      </c>
      <c r="G919" t="str">
        <f t="shared" si="28"/>
        <v>1001–1500</v>
      </c>
      <c r="H919" s="1">
        <v>1820.6</v>
      </c>
      <c r="I919" t="str">
        <f t="shared" si="29"/>
        <v>1501–2000</v>
      </c>
      <c r="J919" t="s">
        <v>14</v>
      </c>
      <c r="K919" t="str">
        <f>IF(logistics_classification_dataset__1[[#This Row],[Customer_Segment]]="Bireysel","Individual",IF(logistics_classification_dataset__1[[#This Row],[Customer_Segment]]="Kurumsal","Corporate"))</f>
        <v>Corporate</v>
      </c>
      <c r="L919">
        <v>1</v>
      </c>
    </row>
    <row r="920" spans="1:12" x14ac:dyDescent="0.35">
      <c r="A920">
        <v>919</v>
      </c>
      <c r="B920" t="s">
        <v>16</v>
      </c>
      <c r="C920" t="s">
        <v>13</v>
      </c>
      <c r="D920" t="s">
        <v>10</v>
      </c>
      <c r="E920" t="str">
        <f>IF(logistics_classification_dataset__1[[#This Row],[Shipment_Type]]="Kara","Road",IF(logistics_classification_dataset__1[[#This Row],[Shipment_Type]]="Hava","Air",IF(logistics_classification_dataset__1[[#This Row],[Shipment_Type]]="Deniz","Sea")))</f>
        <v>Road</v>
      </c>
      <c r="F920">
        <v>1208.06</v>
      </c>
      <c r="G920" t="str">
        <f t="shared" si="28"/>
        <v>1001–1500</v>
      </c>
      <c r="H920" s="1">
        <v>523</v>
      </c>
      <c r="I920" t="str">
        <f t="shared" si="29"/>
        <v>501–1000</v>
      </c>
      <c r="J920" t="s">
        <v>11</v>
      </c>
      <c r="K920" t="str">
        <f>IF(logistics_classification_dataset__1[[#This Row],[Customer_Segment]]="Bireysel","Individual",IF(logistics_classification_dataset__1[[#This Row],[Customer_Segment]]="Kurumsal","Corporate"))</f>
        <v>Individual</v>
      </c>
      <c r="L920">
        <v>1</v>
      </c>
    </row>
    <row r="921" spans="1:12" x14ac:dyDescent="0.35">
      <c r="A921">
        <v>920</v>
      </c>
      <c r="B921" t="s">
        <v>16</v>
      </c>
      <c r="C921" t="s">
        <v>17</v>
      </c>
      <c r="D921" t="s">
        <v>10</v>
      </c>
      <c r="E921" t="str">
        <f>IF(logistics_classification_dataset__1[[#This Row],[Shipment_Type]]="Kara","Road",IF(logistics_classification_dataset__1[[#This Row],[Shipment_Type]]="Hava","Air",IF(logistics_classification_dataset__1[[#This Row],[Shipment_Type]]="Deniz","Sea")))</f>
        <v>Road</v>
      </c>
      <c r="F921">
        <v>1239.8900000000001</v>
      </c>
      <c r="G921" t="str">
        <f t="shared" si="28"/>
        <v>1001–1500</v>
      </c>
      <c r="H921" s="1">
        <v>228.1</v>
      </c>
      <c r="I921" t="str">
        <f t="shared" si="29"/>
        <v>0–500</v>
      </c>
      <c r="J921" t="s">
        <v>11</v>
      </c>
      <c r="K921" t="str">
        <f>IF(logistics_classification_dataset__1[[#This Row],[Customer_Segment]]="Bireysel","Individual",IF(logistics_classification_dataset__1[[#This Row],[Customer_Segment]]="Kurumsal","Corporate"))</f>
        <v>Individual</v>
      </c>
      <c r="L921">
        <v>1</v>
      </c>
    </row>
    <row r="922" spans="1:12" x14ac:dyDescent="0.35">
      <c r="A922">
        <v>921</v>
      </c>
      <c r="B922" t="s">
        <v>18</v>
      </c>
      <c r="C922" t="s">
        <v>12</v>
      </c>
      <c r="D922" t="s">
        <v>15</v>
      </c>
      <c r="E922" t="str">
        <f>IF(logistics_classification_dataset__1[[#This Row],[Shipment_Type]]="Kara","Road",IF(logistics_classification_dataset__1[[#This Row],[Shipment_Type]]="Hava","Air",IF(logistics_classification_dataset__1[[#This Row],[Shipment_Type]]="Deniz","Sea")))</f>
        <v>Air</v>
      </c>
      <c r="F922">
        <v>1881.84</v>
      </c>
      <c r="G922" t="str">
        <f t="shared" si="28"/>
        <v>1501–2000</v>
      </c>
      <c r="H922" s="1">
        <v>671.4</v>
      </c>
      <c r="I922" t="str">
        <f t="shared" si="29"/>
        <v>501–1000</v>
      </c>
      <c r="J922" t="s">
        <v>11</v>
      </c>
      <c r="K922" t="str">
        <f>IF(logistics_classification_dataset__1[[#This Row],[Customer_Segment]]="Bireysel","Individual",IF(logistics_classification_dataset__1[[#This Row],[Customer_Segment]]="Kurumsal","Corporate"))</f>
        <v>Individual</v>
      </c>
      <c r="L922">
        <v>1</v>
      </c>
    </row>
    <row r="923" spans="1:12" x14ac:dyDescent="0.35">
      <c r="A923">
        <v>922</v>
      </c>
      <c r="B923" t="s">
        <v>17</v>
      </c>
      <c r="C923" t="s">
        <v>22</v>
      </c>
      <c r="D923" t="s">
        <v>10</v>
      </c>
      <c r="E923" t="str">
        <f>IF(logistics_classification_dataset__1[[#This Row],[Shipment_Type]]="Kara","Road",IF(logistics_classification_dataset__1[[#This Row],[Shipment_Type]]="Hava","Air",IF(logistics_classification_dataset__1[[#This Row],[Shipment_Type]]="Deniz","Sea")))</f>
        <v>Road</v>
      </c>
      <c r="F923">
        <v>1552.94</v>
      </c>
      <c r="G923" t="str">
        <f t="shared" si="28"/>
        <v>1501–2000</v>
      </c>
      <c r="H923" s="1">
        <v>254.1</v>
      </c>
      <c r="I923" t="str">
        <f t="shared" si="29"/>
        <v>0–500</v>
      </c>
      <c r="J923" t="s">
        <v>11</v>
      </c>
      <c r="K923" t="str">
        <f>IF(logistics_classification_dataset__1[[#This Row],[Customer_Segment]]="Bireysel","Individual",IF(logistics_classification_dataset__1[[#This Row],[Customer_Segment]]="Kurumsal","Corporate"))</f>
        <v>Individual</v>
      </c>
      <c r="L923">
        <v>1</v>
      </c>
    </row>
    <row r="924" spans="1:12" x14ac:dyDescent="0.35">
      <c r="A924">
        <v>923</v>
      </c>
      <c r="B924" t="s">
        <v>12</v>
      </c>
      <c r="C924" t="s">
        <v>22</v>
      </c>
      <c r="D924" t="s">
        <v>10</v>
      </c>
      <c r="E924" t="str">
        <f>IF(logistics_classification_dataset__1[[#This Row],[Shipment_Type]]="Kara","Road",IF(logistics_classification_dataset__1[[#This Row],[Shipment_Type]]="Hava","Air",IF(logistics_classification_dataset__1[[#This Row],[Shipment_Type]]="Deniz","Sea")))</f>
        <v>Road</v>
      </c>
      <c r="F924">
        <v>260.23</v>
      </c>
      <c r="G924" t="str">
        <f t="shared" si="28"/>
        <v>0–500</v>
      </c>
      <c r="H924" s="1">
        <v>300.8</v>
      </c>
      <c r="I924" t="str">
        <f t="shared" si="29"/>
        <v>0–500</v>
      </c>
      <c r="J924" t="s">
        <v>11</v>
      </c>
      <c r="K924" t="str">
        <f>IF(logistics_classification_dataset__1[[#This Row],[Customer_Segment]]="Bireysel","Individual",IF(logistics_classification_dataset__1[[#This Row],[Customer_Segment]]="Kurumsal","Corporate"))</f>
        <v>Individual</v>
      </c>
      <c r="L924">
        <v>0</v>
      </c>
    </row>
    <row r="925" spans="1:12" x14ac:dyDescent="0.35">
      <c r="A925">
        <v>924</v>
      </c>
      <c r="B925" t="s">
        <v>20</v>
      </c>
      <c r="C925" t="s">
        <v>9</v>
      </c>
      <c r="D925" t="s">
        <v>10</v>
      </c>
      <c r="E925" t="str">
        <f>IF(logistics_classification_dataset__1[[#This Row],[Shipment_Type]]="Kara","Road",IF(logistics_classification_dataset__1[[#This Row],[Shipment_Type]]="Hava","Air",IF(logistics_classification_dataset__1[[#This Row],[Shipment_Type]]="Deniz","Sea")))</f>
        <v>Road</v>
      </c>
      <c r="F925">
        <v>698.28</v>
      </c>
      <c r="G925" t="str">
        <f t="shared" si="28"/>
        <v>501–1000</v>
      </c>
      <c r="H925" s="1">
        <v>1169</v>
      </c>
      <c r="I925" t="str">
        <f t="shared" si="29"/>
        <v>1001–1500</v>
      </c>
      <c r="J925" t="s">
        <v>11</v>
      </c>
      <c r="K925" t="str">
        <f>IF(logistics_classification_dataset__1[[#This Row],[Customer_Segment]]="Bireysel","Individual",IF(logistics_classification_dataset__1[[#This Row],[Customer_Segment]]="Kurumsal","Corporate"))</f>
        <v>Individual</v>
      </c>
      <c r="L925">
        <v>1</v>
      </c>
    </row>
    <row r="926" spans="1:12" x14ac:dyDescent="0.35">
      <c r="A926">
        <v>925</v>
      </c>
      <c r="B926" t="s">
        <v>17</v>
      </c>
      <c r="C926" t="s">
        <v>12</v>
      </c>
      <c r="D926" t="s">
        <v>10</v>
      </c>
      <c r="E926" t="str">
        <f>IF(logistics_classification_dataset__1[[#This Row],[Shipment_Type]]="Kara","Road",IF(logistics_classification_dataset__1[[#This Row],[Shipment_Type]]="Hava","Air",IF(logistics_classification_dataset__1[[#This Row],[Shipment_Type]]="Deniz","Sea")))</f>
        <v>Road</v>
      </c>
      <c r="F926">
        <v>873.61</v>
      </c>
      <c r="G926" t="str">
        <f t="shared" si="28"/>
        <v>501–1000</v>
      </c>
      <c r="H926" s="1">
        <v>168.8</v>
      </c>
      <c r="I926" t="str">
        <f t="shared" si="29"/>
        <v>0–500</v>
      </c>
      <c r="J926" t="s">
        <v>11</v>
      </c>
      <c r="K926" t="str">
        <f>IF(logistics_classification_dataset__1[[#This Row],[Customer_Segment]]="Bireysel","Individual",IF(logistics_classification_dataset__1[[#This Row],[Customer_Segment]]="Kurumsal","Corporate"))</f>
        <v>Individual</v>
      </c>
      <c r="L926">
        <v>0</v>
      </c>
    </row>
    <row r="927" spans="1:12" x14ac:dyDescent="0.35">
      <c r="A927">
        <v>926</v>
      </c>
      <c r="B927" t="s">
        <v>20</v>
      </c>
      <c r="C927" t="s">
        <v>17</v>
      </c>
      <c r="D927" t="s">
        <v>10</v>
      </c>
      <c r="E927" t="str">
        <f>IF(logistics_classification_dataset__1[[#This Row],[Shipment_Type]]="Kara","Road",IF(logistics_classification_dataset__1[[#This Row],[Shipment_Type]]="Hava","Air",IF(logistics_classification_dataset__1[[#This Row],[Shipment_Type]]="Deniz","Sea")))</f>
        <v>Road</v>
      </c>
      <c r="F927">
        <v>794.94</v>
      </c>
      <c r="G927" t="str">
        <f t="shared" si="28"/>
        <v>501–1000</v>
      </c>
      <c r="H927" s="1">
        <v>110.3</v>
      </c>
      <c r="I927" t="str">
        <f t="shared" si="29"/>
        <v>0–500</v>
      </c>
      <c r="J927" t="s">
        <v>11</v>
      </c>
      <c r="K927" t="str">
        <f>IF(logistics_classification_dataset__1[[#This Row],[Customer_Segment]]="Bireysel","Individual",IF(logistics_classification_dataset__1[[#This Row],[Customer_Segment]]="Kurumsal","Corporate"))</f>
        <v>Individual</v>
      </c>
      <c r="L927">
        <v>1</v>
      </c>
    </row>
    <row r="928" spans="1:12" x14ac:dyDescent="0.35">
      <c r="A928">
        <v>927</v>
      </c>
      <c r="B928" t="s">
        <v>22</v>
      </c>
      <c r="C928" t="s">
        <v>20</v>
      </c>
      <c r="D928" t="s">
        <v>19</v>
      </c>
      <c r="E928" t="str">
        <f>IF(logistics_classification_dataset__1[[#This Row],[Shipment_Type]]="Kara","Road",IF(logistics_classification_dataset__1[[#This Row],[Shipment_Type]]="Hava","Air",IF(logistics_classification_dataset__1[[#This Row],[Shipment_Type]]="Deniz","Sea")))</f>
        <v>Sea</v>
      </c>
      <c r="F928">
        <v>1340.27</v>
      </c>
      <c r="G928" t="str">
        <f t="shared" si="28"/>
        <v>1001–1500</v>
      </c>
      <c r="H928" s="1">
        <v>1443.1</v>
      </c>
      <c r="I928" t="str">
        <f t="shared" si="29"/>
        <v>1001–1500</v>
      </c>
      <c r="J928" t="s">
        <v>11</v>
      </c>
      <c r="K928" t="str">
        <f>IF(logistics_classification_dataset__1[[#This Row],[Customer_Segment]]="Bireysel","Individual",IF(logistics_classification_dataset__1[[#This Row],[Customer_Segment]]="Kurumsal","Corporate"))</f>
        <v>Individual</v>
      </c>
      <c r="L928">
        <v>1</v>
      </c>
    </row>
    <row r="929" spans="1:12" x14ac:dyDescent="0.35">
      <c r="A929">
        <v>928</v>
      </c>
      <c r="B929" t="s">
        <v>13</v>
      </c>
      <c r="C929" t="s">
        <v>8</v>
      </c>
      <c r="D929" t="s">
        <v>10</v>
      </c>
      <c r="E929" t="str">
        <f>IF(logistics_classification_dataset__1[[#This Row],[Shipment_Type]]="Kara","Road",IF(logistics_classification_dataset__1[[#This Row],[Shipment_Type]]="Hava","Air",IF(logistics_classification_dataset__1[[#This Row],[Shipment_Type]]="Deniz","Sea")))</f>
        <v>Road</v>
      </c>
      <c r="F929">
        <v>1784.33</v>
      </c>
      <c r="G929" t="str">
        <f t="shared" si="28"/>
        <v>1501–2000</v>
      </c>
      <c r="H929" s="1">
        <v>755.2</v>
      </c>
      <c r="I929" t="str">
        <f t="shared" si="29"/>
        <v>501–1000</v>
      </c>
      <c r="J929" t="s">
        <v>11</v>
      </c>
      <c r="K929" t="str">
        <f>IF(logistics_classification_dataset__1[[#This Row],[Customer_Segment]]="Bireysel","Individual",IF(logistics_classification_dataset__1[[#This Row],[Customer_Segment]]="Kurumsal","Corporate"))</f>
        <v>Individual</v>
      </c>
      <c r="L929">
        <v>0</v>
      </c>
    </row>
    <row r="930" spans="1:12" x14ac:dyDescent="0.35">
      <c r="A930">
        <v>929</v>
      </c>
      <c r="B930" t="s">
        <v>13</v>
      </c>
      <c r="C930" t="s">
        <v>17</v>
      </c>
      <c r="D930" t="s">
        <v>15</v>
      </c>
      <c r="E930" t="str">
        <f>IF(logistics_classification_dataset__1[[#This Row],[Shipment_Type]]="Kara","Road",IF(logistics_classification_dataset__1[[#This Row],[Shipment_Type]]="Hava","Air",IF(logistics_classification_dataset__1[[#This Row],[Shipment_Type]]="Deniz","Sea")))</f>
        <v>Air</v>
      </c>
      <c r="F930">
        <v>615.57000000000005</v>
      </c>
      <c r="G930" t="str">
        <f t="shared" si="28"/>
        <v>501–1000</v>
      </c>
      <c r="H930" s="1">
        <v>294.5</v>
      </c>
      <c r="I930" t="str">
        <f t="shared" si="29"/>
        <v>0–500</v>
      </c>
      <c r="J930" t="s">
        <v>11</v>
      </c>
      <c r="K930" t="str">
        <f>IF(logistics_classification_dataset__1[[#This Row],[Customer_Segment]]="Bireysel","Individual",IF(logistics_classification_dataset__1[[#This Row],[Customer_Segment]]="Kurumsal","Corporate"))</f>
        <v>Individual</v>
      </c>
      <c r="L930">
        <v>1</v>
      </c>
    </row>
    <row r="931" spans="1:12" x14ac:dyDescent="0.35">
      <c r="A931">
        <v>930</v>
      </c>
      <c r="B931" t="s">
        <v>8</v>
      </c>
      <c r="C931" t="s">
        <v>22</v>
      </c>
      <c r="D931" t="s">
        <v>15</v>
      </c>
      <c r="E931" t="str">
        <f>IF(logistics_classification_dataset__1[[#This Row],[Shipment_Type]]="Kara","Road",IF(logistics_classification_dataset__1[[#This Row],[Shipment_Type]]="Hava","Air",IF(logistics_classification_dataset__1[[#This Row],[Shipment_Type]]="Deniz","Sea")))</f>
        <v>Air</v>
      </c>
      <c r="F931">
        <v>1105.99</v>
      </c>
      <c r="G931" t="str">
        <f t="shared" si="28"/>
        <v>1001–1500</v>
      </c>
      <c r="H931" s="1">
        <v>544.5</v>
      </c>
      <c r="I931" t="str">
        <f t="shared" si="29"/>
        <v>501–1000</v>
      </c>
      <c r="J931" t="s">
        <v>14</v>
      </c>
      <c r="K931" t="str">
        <f>IF(logistics_classification_dataset__1[[#This Row],[Customer_Segment]]="Bireysel","Individual",IF(logistics_classification_dataset__1[[#This Row],[Customer_Segment]]="Kurumsal","Corporate"))</f>
        <v>Corporate</v>
      </c>
      <c r="L931">
        <v>1</v>
      </c>
    </row>
    <row r="932" spans="1:12" x14ac:dyDescent="0.35">
      <c r="A932">
        <v>931</v>
      </c>
      <c r="B932" t="s">
        <v>13</v>
      </c>
      <c r="C932" t="s">
        <v>8</v>
      </c>
      <c r="D932" t="s">
        <v>19</v>
      </c>
      <c r="E932" t="str">
        <f>IF(logistics_classification_dataset__1[[#This Row],[Shipment_Type]]="Kara","Road",IF(logistics_classification_dataset__1[[#This Row],[Shipment_Type]]="Hava","Air",IF(logistics_classification_dataset__1[[#This Row],[Shipment_Type]]="Deniz","Sea")))</f>
        <v>Sea</v>
      </c>
      <c r="F932">
        <v>1579.87</v>
      </c>
      <c r="G932" t="str">
        <f t="shared" si="28"/>
        <v>1501–2000</v>
      </c>
      <c r="H932" s="1">
        <v>1302.0999999999999</v>
      </c>
      <c r="I932" t="str">
        <f t="shared" si="29"/>
        <v>1001–1500</v>
      </c>
      <c r="J932" t="s">
        <v>11</v>
      </c>
      <c r="K932" t="str">
        <f>IF(logistics_classification_dataset__1[[#This Row],[Customer_Segment]]="Bireysel","Individual",IF(logistics_classification_dataset__1[[#This Row],[Customer_Segment]]="Kurumsal","Corporate"))</f>
        <v>Individual</v>
      </c>
      <c r="L932">
        <v>1</v>
      </c>
    </row>
    <row r="933" spans="1:12" x14ac:dyDescent="0.35">
      <c r="A933">
        <v>932</v>
      </c>
      <c r="B933" t="s">
        <v>18</v>
      </c>
      <c r="C933" t="s">
        <v>13</v>
      </c>
      <c r="D933" t="s">
        <v>10</v>
      </c>
      <c r="E933" t="str">
        <f>IF(logistics_classification_dataset__1[[#This Row],[Shipment_Type]]="Kara","Road",IF(logistics_classification_dataset__1[[#This Row],[Shipment_Type]]="Hava","Air",IF(logistics_classification_dataset__1[[#This Row],[Shipment_Type]]="Deniz","Sea")))</f>
        <v>Road</v>
      </c>
      <c r="F933">
        <v>835.36</v>
      </c>
      <c r="G933" t="str">
        <f t="shared" si="28"/>
        <v>501–1000</v>
      </c>
      <c r="H933" s="1">
        <v>587.29999999999995</v>
      </c>
      <c r="I933" t="str">
        <f t="shared" si="29"/>
        <v>501–1000</v>
      </c>
      <c r="J933" t="s">
        <v>11</v>
      </c>
      <c r="K933" t="str">
        <f>IF(logistics_classification_dataset__1[[#This Row],[Customer_Segment]]="Bireysel","Individual",IF(logistics_classification_dataset__1[[#This Row],[Customer_Segment]]="Kurumsal","Corporate"))</f>
        <v>Individual</v>
      </c>
      <c r="L933">
        <v>1</v>
      </c>
    </row>
    <row r="934" spans="1:12" x14ac:dyDescent="0.35">
      <c r="A934">
        <v>933</v>
      </c>
      <c r="B934" t="s">
        <v>21</v>
      </c>
      <c r="C934" t="s">
        <v>9</v>
      </c>
      <c r="D934" t="s">
        <v>15</v>
      </c>
      <c r="E934" t="str">
        <f>IF(logistics_classification_dataset__1[[#This Row],[Shipment_Type]]="Kara","Road",IF(logistics_classification_dataset__1[[#This Row],[Shipment_Type]]="Hava","Air",IF(logistics_classification_dataset__1[[#This Row],[Shipment_Type]]="Deniz","Sea")))</f>
        <v>Air</v>
      </c>
      <c r="F934">
        <v>34.04</v>
      </c>
      <c r="G934" t="str">
        <f t="shared" si="28"/>
        <v>0–500</v>
      </c>
      <c r="H934" s="1">
        <v>1014.3</v>
      </c>
      <c r="I934" t="str">
        <f t="shared" si="29"/>
        <v>1001–1500</v>
      </c>
      <c r="J934" t="s">
        <v>11</v>
      </c>
      <c r="K934" t="str">
        <f>IF(logistics_classification_dataset__1[[#This Row],[Customer_Segment]]="Bireysel","Individual",IF(logistics_classification_dataset__1[[#This Row],[Customer_Segment]]="Kurumsal","Corporate"))</f>
        <v>Individual</v>
      </c>
      <c r="L934">
        <v>1</v>
      </c>
    </row>
    <row r="935" spans="1:12" x14ac:dyDescent="0.35">
      <c r="A935">
        <v>934</v>
      </c>
      <c r="B935" t="s">
        <v>9</v>
      </c>
      <c r="C935" t="s">
        <v>17</v>
      </c>
      <c r="D935" t="s">
        <v>10</v>
      </c>
      <c r="E935" t="str">
        <f>IF(logistics_classification_dataset__1[[#This Row],[Shipment_Type]]="Kara","Road",IF(logistics_classification_dataset__1[[#This Row],[Shipment_Type]]="Hava","Air",IF(logistics_classification_dataset__1[[#This Row],[Shipment_Type]]="Deniz","Sea")))</f>
        <v>Road</v>
      </c>
      <c r="F935">
        <v>952.53</v>
      </c>
      <c r="G935" t="str">
        <f t="shared" si="28"/>
        <v>501–1000</v>
      </c>
      <c r="H935" s="1">
        <v>287.3</v>
      </c>
      <c r="I935" t="str">
        <f t="shared" si="29"/>
        <v>0–500</v>
      </c>
      <c r="J935" t="s">
        <v>11</v>
      </c>
      <c r="K935" t="str">
        <f>IF(logistics_classification_dataset__1[[#This Row],[Customer_Segment]]="Bireysel","Individual",IF(logistics_classification_dataset__1[[#This Row],[Customer_Segment]]="Kurumsal","Corporate"))</f>
        <v>Individual</v>
      </c>
      <c r="L935">
        <v>1</v>
      </c>
    </row>
    <row r="936" spans="1:12" x14ac:dyDescent="0.35">
      <c r="A936">
        <v>935</v>
      </c>
      <c r="B936" t="s">
        <v>8</v>
      </c>
      <c r="C936" t="s">
        <v>17</v>
      </c>
      <c r="D936" t="s">
        <v>15</v>
      </c>
      <c r="E936" t="str">
        <f>IF(logistics_classification_dataset__1[[#This Row],[Shipment_Type]]="Kara","Road",IF(logistics_classification_dataset__1[[#This Row],[Shipment_Type]]="Hava","Air",IF(logistics_classification_dataset__1[[#This Row],[Shipment_Type]]="Deniz","Sea")))</f>
        <v>Air</v>
      </c>
      <c r="F936">
        <v>115.17</v>
      </c>
      <c r="G936" t="str">
        <f t="shared" si="28"/>
        <v>0–500</v>
      </c>
      <c r="H936" s="1">
        <v>1196.8</v>
      </c>
      <c r="I936" t="str">
        <f t="shared" si="29"/>
        <v>1001–1500</v>
      </c>
      <c r="J936" t="s">
        <v>14</v>
      </c>
      <c r="K936" t="str">
        <f>IF(logistics_classification_dataset__1[[#This Row],[Customer_Segment]]="Bireysel","Individual",IF(logistics_classification_dataset__1[[#This Row],[Customer_Segment]]="Kurumsal","Corporate"))</f>
        <v>Corporate</v>
      </c>
      <c r="L936">
        <v>1</v>
      </c>
    </row>
    <row r="937" spans="1:12" x14ac:dyDescent="0.35">
      <c r="A937">
        <v>936</v>
      </c>
      <c r="B937" t="s">
        <v>9</v>
      </c>
      <c r="C937" t="s">
        <v>13</v>
      </c>
      <c r="D937" t="s">
        <v>15</v>
      </c>
      <c r="E937" t="str">
        <f>IF(logistics_classification_dataset__1[[#This Row],[Shipment_Type]]="Kara","Road",IF(logistics_classification_dataset__1[[#This Row],[Shipment_Type]]="Hava","Air",IF(logistics_classification_dataset__1[[#This Row],[Shipment_Type]]="Deniz","Sea")))</f>
        <v>Air</v>
      </c>
      <c r="F937">
        <v>1885.05</v>
      </c>
      <c r="G937" t="str">
        <f t="shared" si="28"/>
        <v>1501–2000</v>
      </c>
      <c r="H937" s="1">
        <v>666.4</v>
      </c>
      <c r="I937" t="str">
        <f t="shared" si="29"/>
        <v>501–1000</v>
      </c>
      <c r="J937" t="s">
        <v>11</v>
      </c>
      <c r="K937" t="str">
        <f>IF(logistics_classification_dataset__1[[#This Row],[Customer_Segment]]="Bireysel","Individual",IF(logistics_classification_dataset__1[[#This Row],[Customer_Segment]]="Kurumsal","Corporate"))</f>
        <v>Individual</v>
      </c>
      <c r="L937">
        <v>0</v>
      </c>
    </row>
    <row r="938" spans="1:12" x14ac:dyDescent="0.35">
      <c r="A938">
        <v>937</v>
      </c>
      <c r="B938" t="s">
        <v>20</v>
      </c>
      <c r="C938" t="s">
        <v>12</v>
      </c>
      <c r="D938" t="s">
        <v>15</v>
      </c>
      <c r="E938" t="str">
        <f>IF(logistics_classification_dataset__1[[#This Row],[Shipment_Type]]="Kara","Road",IF(logistics_classification_dataset__1[[#This Row],[Shipment_Type]]="Hava","Air",IF(logistics_classification_dataset__1[[#This Row],[Shipment_Type]]="Deniz","Sea")))</f>
        <v>Air</v>
      </c>
      <c r="F938">
        <v>154.27000000000001</v>
      </c>
      <c r="G938" t="str">
        <f t="shared" si="28"/>
        <v>0–500</v>
      </c>
      <c r="H938" s="1">
        <v>1272.5999999999999</v>
      </c>
      <c r="I938" t="str">
        <f t="shared" si="29"/>
        <v>1001–1500</v>
      </c>
      <c r="J938" t="s">
        <v>14</v>
      </c>
      <c r="K938" t="str">
        <f>IF(logistics_classification_dataset__1[[#This Row],[Customer_Segment]]="Bireysel","Individual",IF(logistics_classification_dataset__1[[#This Row],[Customer_Segment]]="Kurumsal","Corporate"))</f>
        <v>Corporate</v>
      </c>
      <c r="L938">
        <v>1</v>
      </c>
    </row>
    <row r="939" spans="1:12" x14ac:dyDescent="0.35">
      <c r="A939">
        <v>938</v>
      </c>
      <c r="B939" t="s">
        <v>9</v>
      </c>
      <c r="C939" t="s">
        <v>12</v>
      </c>
      <c r="D939" t="s">
        <v>10</v>
      </c>
      <c r="E939" t="str">
        <f>IF(logistics_classification_dataset__1[[#This Row],[Shipment_Type]]="Kara","Road",IF(logistics_classification_dataset__1[[#This Row],[Shipment_Type]]="Hava","Air",IF(logistics_classification_dataset__1[[#This Row],[Shipment_Type]]="Deniz","Sea")))</f>
        <v>Road</v>
      </c>
      <c r="F939">
        <v>879.72</v>
      </c>
      <c r="G939" t="str">
        <f t="shared" si="28"/>
        <v>501–1000</v>
      </c>
      <c r="H939" s="1">
        <v>1626.4</v>
      </c>
      <c r="I939" t="str">
        <f t="shared" si="29"/>
        <v>1501–2000</v>
      </c>
      <c r="J939" t="s">
        <v>11</v>
      </c>
      <c r="K939" t="str">
        <f>IF(logistics_classification_dataset__1[[#This Row],[Customer_Segment]]="Bireysel","Individual",IF(logistics_classification_dataset__1[[#This Row],[Customer_Segment]]="Kurumsal","Corporate"))</f>
        <v>Individual</v>
      </c>
      <c r="L939">
        <v>0</v>
      </c>
    </row>
    <row r="940" spans="1:12" x14ac:dyDescent="0.35">
      <c r="A940">
        <v>939</v>
      </c>
      <c r="B940" t="s">
        <v>9</v>
      </c>
      <c r="C940" t="s">
        <v>12</v>
      </c>
      <c r="D940" t="s">
        <v>15</v>
      </c>
      <c r="E940" t="str">
        <f>IF(logistics_classification_dataset__1[[#This Row],[Shipment_Type]]="Kara","Road",IF(logistics_classification_dataset__1[[#This Row],[Shipment_Type]]="Hava","Air",IF(logistics_classification_dataset__1[[#This Row],[Shipment_Type]]="Deniz","Sea")))</f>
        <v>Air</v>
      </c>
      <c r="F940">
        <v>1062.1099999999999</v>
      </c>
      <c r="G940" t="str">
        <f t="shared" si="28"/>
        <v>1001–1500</v>
      </c>
      <c r="H940" s="1">
        <v>1242.7</v>
      </c>
      <c r="I940" t="str">
        <f t="shared" si="29"/>
        <v>1001–1500</v>
      </c>
      <c r="J940" t="s">
        <v>14</v>
      </c>
      <c r="K940" t="str">
        <f>IF(logistics_classification_dataset__1[[#This Row],[Customer_Segment]]="Bireysel","Individual",IF(logistics_classification_dataset__1[[#This Row],[Customer_Segment]]="Kurumsal","Corporate"))</f>
        <v>Corporate</v>
      </c>
      <c r="L940">
        <v>1</v>
      </c>
    </row>
    <row r="941" spans="1:12" x14ac:dyDescent="0.35">
      <c r="A941">
        <v>940</v>
      </c>
      <c r="B941" t="s">
        <v>8</v>
      </c>
      <c r="C941" t="s">
        <v>21</v>
      </c>
      <c r="D941" t="s">
        <v>10</v>
      </c>
      <c r="E941" t="str">
        <f>IF(logistics_classification_dataset__1[[#This Row],[Shipment_Type]]="Kara","Road",IF(logistics_classification_dataset__1[[#This Row],[Shipment_Type]]="Hava","Air",IF(logistics_classification_dataset__1[[#This Row],[Shipment_Type]]="Deniz","Sea")))</f>
        <v>Road</v>
      </c>
      <c r="F941">
        <v>1970.68</v>
      </c>
      <c r="G941" t="str">
        <f t="shared" si="28"/>
        <v>1501–2000</v>
      </c>
      <c r="H941" s="1">
        <v>626.70000000000005</v>
      </c>
      <c r="I941" t="str">
        <f t="shared" si="29"/>
        <v>501–1000</v>
      </c>
      <c r="J941" t="s">
        <v>11</v>
      </c>
      <c r="K941" t="str">
        <f>IF(logistics_classification_dataset__1[[#This Row],[Customer_Segment]]="Bireysel","Individual",IF(logistics_classification_dataset__1[[#This Row],[Customer_Segment]]="Kurumsal","Corporate"))</f>
        <v>Individual</v>
      </c>
      <c r="L941">
        <v>1</v>
      </c>
    </row>
    <row r="942" spans="1:12" x14ac:dyDescent="0.35">
      <c r="A942">
        <v>941</v>
      </c>
      <c r="B942" t="s">
        <v>22</v>
      </c>
      <c r="C942" t="s">
        <v>8</v>
      </c>
      <c r="D942" t="s">
        <v>15</v>
      </c>
      <c r="E942" t="str">
        <f>IF(logistics_classification_dataset__1[[#This Row],[Shipment_Type]]="Kara","Road",IF(logistics_classification_dataset__1[[#This Row],[Shipment_Type]]="Hava","Air",IF(logistics_classification_dataset__1[[#This Row],[Shipment_Type]]="Deniz","Sea")))</f>
        <v>Air</v>
      </c>
      <c r="F942">
        <v>336.21</v>
      </c>
      <c r="G942" t="str">
        <f t="shared" si="28"/>
        <v>0–500</v>
      </c>
      <c r="H942" s="1">
        <v>548.70000000000005</v>
      </c>
      <c r="I942" t="str">
        <f t="shared" si="29"/>
        <v>501–1000</v>
      </c>
      <c r="J942" t="s">
        <v>14</v>
      </c>
      <c r="K942" t="str">
        <f>IF(logistics_classification_dataset__1[[#This Row],[Customer_Segment]]="Bireysel","Individual",IF(logistics_classification_dataset__1[[#This Row],[Customer_Segment]]="Kurumsal","Corporate"))</f>
        <v>Corporate</v>
      </c>
      <c r="L942">
        <v>1</v>
      </c>
    </row>
    <row r="943" spans="1:12" x14ac:dyDescent="0.35">
      <c r="A943">
        <v>942</v>
      </c>
      <c r="B943" t="s">
        <v>16</v>
      </c>
      <c r="C943" t="s">
        <v>21</v>
      </c>
      <c r="D943" t="s">
        <v>19</v>
      </c>
      <c r="E943" t="str">
        <f>IF(logistics_classification_dataset__1[[#This Row],[Shipment_Type]]="Kara","Road",IF(logistics_classification_dataset__1[[#This Row],[Shipment_Type]]="Hava","Air",IF(logistics_classification_dataset__1[[#This Row],[Shipment_Type]]="Deniz","Sea")))</f>
        <v>Sea</v>
      </c>
      <c r="F943">
        <v>233.29</v>
      </c>
      <c r="G943" t="str">
        <f t="shared" si="28"/>
        <v>0–500</v>
      </c>
      <c r="H943" s="1">
        <v>688.5</v>
      </c>
      <c r="I943" t="str">
        <f t="shared" si="29"/>
        <v>501–1000</v>
      </c>
      <c r="J943" t="s">
        <v>11</v>
      </c>
      <c r="K943" t="str">
        <f>IF(logistics_classification_dataset__1[[#This Row],[Customer_Segment]]="Bireysel","Individual",IF(logistics_classification_dataset__1[[#This Row],[Customer_Segment]]="Kurumsal","Corporate"))</f>
        <v>Individual</v>
      </c>
      <c r="L943">
        <v>1</v>
      </c>
    </row>
    <row r="944" spans="1:12" x14ac:dyDescent="0.35">
      <c r="A944">
        <v>943</v>
      </c>
      <c r="B944" t="s">
        <v>13</v>
      </c>
      <c r="C944" t="s">
        <v>9</v>
      </c>
      <c r="D944" t="s">
        <v>10</v>
      </c>
      <c r="E944" t="str">
        <f>IF(logistics_classification_dataset__1[[#This Row],[Shipment_Type]]="Kara","Road",IF(logistics_classification_dataset__1[[#This Row],[Shipment_Type]]="Hava","Air",IF(logistics_classification_dataset__1[[#This Row],[Shipment_Type]]="Deniz","Sea")))</f>
        <v>Road</v>
      </c>
      <c r="F944">
        <v>22.37</v>
      </c>
      <c r="G944" t="str">
        <f t="shared" si="28"/>
        <v>0–500</v>
      </c>
      <c r="H944" s="1">
        <v>371</v>
      </c>
      <c r="I944" t="str">
        <f t="shared" si="29"/>
        <v>0–500</v>
      </c>
      <c r="J944" t="s">
        <v>11</v>
      </c>
      <c r="K944" t="str">
        <f>IF(logistics_classification_dataset__1[[#This Row],[Customer_Segment]]="Bireysel","Individual",IF(logistics_classification_dataset__1[[#This Row],[Customer_Segment]]="Kurumsal","Corporate"))</f>
        <v>Individual</v>
      </c>
      <c r="L944">
        <v>0</v>
      </c>
    </row>
    <row r="945" spans="1:12" x14ac:dyDescent="0.35">
      <c r="A945">
        <v>944</v>
      </c>
      <c r="B945" t="s">
        <v>13</v>
      </c>
      <c r="C945" t="s">
        <v>12</v>
      </c>
      <c r="D945" t="s">
        <v>19</v>
      </c>
      <c r="E945" t="str">
        <f>IF(logistics_classification_dataset__1[[#This Row],[Shipment_Type]]="Kara","Road",IF(logistics_classification_dataset__1[[#This Row],[Shipment_Type]]="Hava","Air",IF(logistics_classification_dataset__1[[#This Row],[Shipment_Type]]="Deniz","Sea")))</f>
        <v>Sea</v>
      </c>
      <c r="F945">
        <v>315.37</v>
      </c>
      <c r="G945" t="str">
        <f t="shared" si="28"/>
        <v>0–500</v>
      </c>
      <c r="H945" s="1">
        <v>403.3</v>
      </c>
      <c r="I945" t="str">
        <f t="shared" si="29"/>
        <v>0–500</v>
      </c>
      <c r="J945" t="s">
        <v>11</v>
      </c>
      <c r="K945" t="str">
        <f>IF(logistics_classification_dataset__1[[#This Row],[Customer_Segment]]="Bireysel","Individual",IF(logistics_classification_dataset__1[[#This Row],[Customer_Segment]]="Kurumsal","Corporate"))</f>
        <v>Individual</v>
      </c>
      <c r="L945">
        <v>1</v>
      </c>
    </row>
    <row r="946" spans="1:12" x14ac:dyDescent="0.35">
      <c r="A946">
        <v>945</v>
      </c>
      <c r="B946" t="s">
        <v>18</v>
      </c>
      <c r="C946" t="s">
        <v>17</v>
      </c>
      <c r="D946" t="s">
        <v>10</v>
      </c>
      <c r="E946" t="str">
        <f>IF(logistics_classification_dataset__1[[#This Row],[Shipment_Type]]="Kara","Road",IF(logistics_classification_dataset__1[[#This Row],[Shipment_Type]]="Hava","Air",IF(logistics_classification_dataset__1[[#This Row],[Shipment_Type]]="Deniz","Sea")))</f>
        <v>Road</v>
      </c>
      <c r="F946">
        <v>418.51</v>
      </c>
      <c r="G946" t="str">
        <f t="shared" si="28"/>
        <v>0–500</v>
      </c>
      <c r="H946" s="1">
        <v>1591.8</v>
      </c>
      <c r="I946" t="str">
        <f t="shared" si="29"/>
        <v>1501–2000</v>
      </c>
      <c r="J946" t="s">
        <v>11</v>
      </c>
      <c r="K946" t="str">
        <f>IF(logistics_classification_dataset__1[[#This Row],[Customer_Segment]]="Bireysel","Individual",IF(logistics_classification_dataset__1[[#This Row],[Customer_Segment]]="Kurumsal","Corporate"))</f>
        <v>Individual</v>
      </c>
      <c r="L946">
        <v>1</v>
      </c>
    </row>
    <row r="947" spans="1:12" x14ac:dyDescent="0.35">
      <c r="A947">
        <v>946</v>
      </c>
      <c r="B947" t="s">
        <v>8</v>
      </c>
      <c r="C947" t="s">
        <v>9</v>
      </c>
      <c r="D947" t="s">
        <v>10</v>
      </c>
      <c r="E947" t="str">
        <f>IF(logistics_classification_dataset__1[[#This Row],[Shipment_Type]]="Kara","Road",IF(logistics_classification_dataset__1[[#This Row],[Shipment_Type]]="Hava","Air",IF(logistics_classification_dataset__1[[#This Row],[Shipment_Type]]="Deniz","Sea")))</f>
        <v>Road</v>
      </c>
      <c r="F947">
        <v>1263.01</v>
      </c>
      <c r="G947" t="str">
        <f t="shared" si="28"/>
        <v>1001–1500</v>
      </c>
      <c r="H947" s="1">
        <v>800.2</v>
      </c>
      <c r="I947" t="str">
        <f t="shared" si="29"/>
        <v>501–1000</v>
      </c>
      <c r="J947" t="s">
        <v>14</v>
      </c>
      <c r="K947" t="str">
        <f>IF(logistics_classification_dataset__1[[#This Row],[Customer_Segment]]="Bireysel","Individual",IF(logistics_classification_dataset__1[[#This Row],[Customer_Segment]]="Kurumsal","Corporate"))</f>
        <v>Corporate</v>
      </c>
      <c r="L947">
        <v>1</v>
      </c>
    </row>
    <row r="948" spans="1:12" x14ac:dyDescent="0.35">
      <c r="A948">
        <v>947</v>
      </c>
      <c r="B948" t="s">
        <v>18</v>
      </c>
      <c r="C948" t="s">
        <v>21</v>
      </c>
      <c r="D948" t="s">
        <v>10</v>
      </c>
      <c r="E948" t="str">
        <f>IF(logistics_classification_dataset__1[[#This Row],[Shipment_Type]]="Kara","Road",IF(logistics_classification_dataset__1[[#This Row],[Shipment_Type]]="Hava","Air",IF(logistics_classification_dataset__1[[#This Row],[Shipment_Type]]="Deniz","Sea")))</f>
        <v>Road</v>
      </c>
      <c r="F948">
        <v>443.32</v>
      </c>
      <c r="G948" t="str">
        <f t="shared" si="28"/>
        <v>0–500</v>
      </c>
      <c r="H948" s="1">
        <v>900.2</v>
      </c>
      <c r="I948" t="str">
        <f t="shared" si="29"/>
        <v>501–1000</v>
      </c>
      <c r="J948" t="s">
        <v>11</v>
      </c>
      <c r="K948" t="str">
        <f>IF(logistics_classification_dataset__1[[#This Row],[Customer_Segment]]="Bireysel","Individual",IF(logistics_classification_dataset__1[[#This Row],[Customer_Segment]]="Kurumsal","Corporate"))</f>
        <v>Individual</v>
      </c>
      <c r="L948">
        <v>1</v>
      </c>
    </row>
    <row r="949" spans="1:12" x14ac:dyDescent="0.35">
      <c r="A949">
        <v>948</v>
      </c>
      <c r="B949" t="s">
        <v>21</v>
      </c>
      <c r="C949" t="s">
        <v>18</v>
      </c>
      <c r="D949" t="s">
        <v>10</v>
      </c>
      <c r="E949" t="str">
        <f>IF(logistics_classification_dataset__1[[#This Row],[Shipment_Type]]="Kara","Road",IF(logistics_classification_dataset__1[[#This Row],[Shipment_Type]]="Hava","Air",IF(logistics_classification_dataset__1[[#This Row],[Shipment_Type]]="Deniz","Sea")))</f>
        <v>Road</v>
      </c>
      <c r="F949">
        <v>45.94</v>
      </c>
      <c r="G949" t="str">
        <f t="shared" si="28"/>
        <v>0–500</v>
      </c>
      <c r="H949" s="1">
        <v>1208.4000000000001</v>
      </c>
      <c r="I949" t="str">
        <f t="shared" si="29"/>
        <v>1001–1500</v>
      </c>
      <c r="J949" t="s">
        <v>11</v>
      </c>
      <c r="K949" t="str">
        <f>IF(logistics_classification_dataset__1[[#This Row],[Customer_Segment]]="Bireysel","Individual",IF(logistics_classification_dataset__1[[#This Row],[Customer_Segment]]="Kurumsal","Corporate"))</f>
        <v>Individual</v>
      </c>
      <c r="L949">
        <v>0</v>
      </c>
    </row>
    <row r="950" spans="1:12" x14ac:dyDescent="0.35">
      <c r="A950">
        <v>949</v>
      </c>
      <c r="B950" t="s">
        <v>21</v>
      </c>
      <c r="C950" t="s">
        <v>16</v>
      </c>
      <c r="D950" t="s">
        <v>15</v>
      </c>
      <c r="E950" t="str">
        <f>IF(logistics_classification_dataset__1[[#This Row],[Shipment_Type]]="Kara","Road",IF(logistics_classification_dataset__1[[#This Row],[Shipment_Type]]="Hava","Air",IF(logistics_classification_dataset__1[[#This Row],[Shipment_Type]]="Deniz","Sea")))</f>
        <v>Air</v>
      </c>
      <c r="F950">
        <v>165.41</v>
      </c>
      <c r="G950" t="str">
        <f t="shared" si="28"/>
        <v>0–500</v>
      </c>
      <c r="H950" s="1">
        <v>1199.8</v>
      </c>
      <c r="I950" t="str">
        <f t="shared" si="29"/>
        <v>1001–1500</v>
      </c>
      <c r="J950" t="s">
        <v>11</v>
      </c>
      <c r="K950" t="str">
        <f>IF(logistics_classification_dataset__1[[#This Row],[Customer_Segment]]="Bireysel","Individual",IF(logistics_classification_dataset__1[[#This Row],[Customer_Segment]]="Kurumsal","Corporate"))</f>
        <v>Individual</v>
      </c>
      <c r="L950">
        <v>0</v>
      </c>
    </row>
    <row r="951" spans="1:12" x14ac:dyDescent="0.35">
      <c r="A951">
        <v>950</v>
      </c>
      <c r="B951" t="s">
        <v>18</v>
      </c>
      <c r="C951" t="s">
        <v>21</v>
      </c>
      <c r="D951" t="s">
        <v>10</v>
      </c>
      <c r="E951" t="str">
        <f>IF(logistics_classification_dataset__1[[#This Row],[Shipment_Type]]="Kara","Road",IF(logistics_classification_dataset__1[[#This Row],[Shipment_Type]]="Hava","Air",IF(logistics_classification_dataset__1[[#This Row],[Shipment_Type]]="Deniz","Sea")))</f>
        <v>Road</v>
      </c>
      <c r="F951">
        <v>734.36</v>
      </c>
      <c r="G951" t="str">
        <f t="shared" si="28"/>
        <v>501–1000</v>
      </c>
      <c r="H951" s="1">
        <v>181.4</v>
      </c>
      <c r="I951" t="str">
        <f t="shared" si="29"/>
        <v>0–500</v>
      </c>
      <c r="J951" t="s">
        <v>11</v>
      </c>
      <c r="K951" t="str">
        <f>IF(logistics_classification_dataset__1[[#This Row],[Customer_Segment]]="Bireysel","Individual",IF(logistics_classification_dataset__1[[#This Row],[Customer_Segment]]="Kurumsal","Corporate"))</f>
        <v>Individual</v>
      </c>
      <c r="L951">
        <v>1</v>
      </c>
    </row>
    <row r="952" spans="1:12" x14ac:dyDescent="0.35">
      <c r="A952">
        <v>951</v>
      </c>
      <c r="B952" t="s">
        <v>8</v>
      </c>
      <c r="C952" t="s">
        <v>20</v>
      </c>
      <c r="D952" t="s">
        <v>10</v>
      </c>
      <c r="E952" t="str">
        <f>IF(logistics_classification_dataset__1[[#This Row],[Shipment_Type]]="Kara","Road",IF(logistics_classification_dataset__1[[#This Row],[Shipment_Type]]="Hava","Air",IF(logistics_classification_dataset__1[[#This Row],[Shipment_Type]]="Deniz","Sea")))</f>
        <v>Road</v>
      </c>
      <c r="F952">
        <v>710.62</v>
      </c>
      <c r="G952" t="str">
        <f t="shared" si="28"/>
        <v>501–1000</v>
      </c>
      <c r="H952" s="1">
        <v>1671.5</v>
      </c>
      <c r="I952" t="str">
        <f t="shared" si="29"/>
        <v>1501–2000</v>
      </c>
      <c r="J952" t="s">
        <v>11</v>
      </c>
      <c r="K952" t="str">
        <f>IF(logistics_classification_dataset__1[[#This Row],[Customer_Segment]]="Bireysel","Individual",IF(logistics_classification_dataset__1[[#This Row],[Customer_Segment]]="Kurumsal","Corporate"))</f>
        <v>Individual</v>
      </c>
      <c r="L952">
        <v>1</v>
      </c>
    </row>
    <row r="953" spans="1:12" x14ac:dyDescent="0.35">
      <c r="A953">
        <v>952</v>
      </c>
      <c r="B953" t="s">
        <v>18</v>
      </c>
      <c r="C953" t="s">
        <v>17</v>
      </c>
      <c r="D953" t="s">
        <v>19</v>
      </c>
      <c r="E953" t="str">
        <f>IF(logistics_classification_dataset__1[[#This Row],[Shipment_Type]]="Kara","Road",IF(logistics_classification_dataset__1[[#This Row],[Shipment_Type]]="Hava","Air",IF(logistics_classification_dataset__1[[#This Row],[Shipment_Type]]="Deniz","Sea")))</f>
        <v>Sea</v>
      </c>
      <c r="F953">
        <v>608.45000000000005</v>
      </c>
      <c r="G953" t="str">
        <f t="shared" si="28"/>
        <v>501–1000</v>
      </c>
      <c r="H953" s="1">
        <v>395.8</v>
      </c>
      <c r="I953" t="str">
        <f t="shared" si="29"/>
        <v>0–500</v>
      </c>
      <c r="J953" t="s">
        <v>11</v>
      </c>
      <c r="K953" t="str">
        <f>IF(logistics_classification_dataset__1[[#This Row],[Customer_Segment]]="Bireysel","Individual",IF(logistics_classification_dataset__1[[#This Row],[Customer_Segment]]="Kurumsal","Corporate"))</f>
        <v>Individual</v>
      </c>
      <c r="L953">
        <v>1</v>
      </c>
    </row>
    <row r="954" spans="1:12" x14ac:dyDescent="0.35">
      <c r="A954">
        <v>953</v>
      </c>
      <c r="B954" t="s">
        <v>13</v>
      </c>
      <c r="C954" t="s">
        <v>20</v>
      </c>
      <c r="D954" t="s">
        <v>15</v>
      </c>
      <c r="E954" t="str">
        <f>IF(logistics_classification_dataset__1[[#This Row],[Shipment_Type]]="Kara","Road",IF(logistics_classification_dataset__1[[#This Row],[Shipment_Type]]="Hava","Air",IF(logistics_classification_dataset__1[[#This Row],[Shipment_Type]]="Deniz","Sea")))</f>
        <v>Air</v>
      </c>
      <c r="F954">
        <v>1950.87</v>
      </c>
      <c r="G954" t="str">
        <f t="shared" si="28"/>
        <v>1501–2000</v>
      </c>
      <c r="H954" s="1">
        <v>1460</v>
      </c>
      <c r="I954" t="str">
        <f t="shared" si="29"/>
        <v>1001–1500</v>
      </c>
      <c r="J954" t="s">
        <v>11</v>
      </c>
      <c r="K954" t="str">
        <f>IF(logistics_classification_dataset__1[[#This Row],[Customer_Segment]]="Bireysel","Individual",IF(logistics_classification_dataset__1[[#This Row],[Customer_Segment]]="Kurumsal","Corporate"))</f>
        <v>Individual</v>
      </c>
      <c r="L954">
        <v>1</v>
      </c>
    </row>
    <row r="955" spans="1:12" x14ac:dyDescent="0.35">
      <c r="A955">
        <v>954</v>
      </c>
      <c r="B955" t="s">
        <v>17</v>
      </c>
      <c r="C955" t="s">
        <v>22</v>
      </c>
      <c r="D955" t="s">
        <v>15</v>
      </c>
      <c r="E955" t="str">
        <f>IF(logistics_classification_dataset__1[[#This Row],[Shipment_Type]]="Kara","Road",IF(logistics_classification_dataset__1[[#This Row],[Shipment_Type]]="Hava","Air",IF(logistics_classification_dataset__1[[#This Row],[Shipment_Type]]="Deniz","Sea")))</f>
        <v>Air</v>
      </c>
      <c r="F955">
        <v>344.38</v>
      </c>
      <c r="G955" t="str">
        <f t="shared" si="28"/>
        <v>0–500</v>
      </c>
      <c r="H955" s="1">
        <v>1556.7</v>
      </c>
      <c r="I955" t="str">
        <f t="shared" si="29"/>
        <v>1501–2000</v>
      </c>
      <c r="J955" t="s">
        <v>14</v>
      </c>
      <c r="K955" t="str">
        <f>IF(logistics_classification_dataset__1[[#This Row],[Customer_Segment]]="Bireysel","Individual",IF(logistics_classification_dataset__1[[#This Row],[Customer_Segment]]="Kurumsal","Corporate"))</f>
        <v>Corporate</v>
      </c>
      <c r="L955">
        <v>0</v>
      </c>
    </row>
    <row r="956" spans="1:12" x14ac:dyDescent="0.35">
      <c r="A956">
        <v>955</v>
      </c>
      <c r="B956" t="s">
        <v>12</v>
      </c>
      <c r="C956" t="s">
        <v>13</v>
      </c>
      <c r="D956" t="s">
        <v>15</v>
      </c>
      <c r="E956" t="str">
        <f>IF(logistics_classification_dataset__1[[#This Row],[Shipment_Type]]="Kara","Road",IF(logistics_classification_dataset__1[[#This Row],[Shipment_Type]]="Hava","Air",IF(logistics_classification_dataset__1[[#This Row],[Shipment_Type]]="Deniz","Sea")))</f>
        <v>Air</v>
      </c>
      <c r="F956">
        <v>1796.98</v>
      </c>
      <c r="G956" t="str">
        <f t="shared" si="28"/>
        <v>1501–2000</v>
      </c>
      <c r="H956" s="1">
        <v>1444.1</v>
      </c>
      <c r="I956" t="str">
        <f t="shared" si="29"/>
        <v>1001–1500</v>
      </c>
      <c r="J956" t="s">
        <v>11</v>
      </c>
      <c r="K956" t="str">
        <f>IF(logistics_classification_dataset__1[[#This Row],[Customer_Segment]]="Bireysel","Individual",IF(logistics_classification_dataset__1[[#This Row],[Customer_Segment]]="Kurumsal","Corporate"))</f>
        <v>Individual</v>
      </c>
      <c r="L956">
        <v>1</v>
      </c>
    </row>
    <row r="957" spans="1:12" x14ac:dyDescent="0.35">
      <c r="A957">
        <v>956</v>
      </c>
      <c r="B957" t="s">
        <v>9</v>
      </c>
      <c r="C957" t="s">
        <v>17</v>
      </c>
      <c r="D957" t="s">
        <v>15</v>
      </c>
      <c r="E957" t="str">
        <f>IF(logistics_classification_dataset__1[[#This Row],[Shipment_Type]]="Kara","Road",IF(logistics_classification_dataset__1[[#This Row],[Shipment_Type]]="Hava","Air",IF(logistics_classification_dataset__1[[#This Row],[Shipment_Type]]="Deniz","Sea")))</f>
        <v>Air</v>
      </c>
      <c r="F957">
        <v>1554.72</v>
      </c>
      <c r="G957" t="str">
        <f t="shared" si="28"/>
        <v>1501–2000</v>
      </c>
      <c r="H957" s="1">
        <v>1179</v>
      </c>
      <c r="I957" t="str">
        <f t="shared" si="29"/>
        <v>1001–1500</v>
      </c>
      <c r="J957" t="s">
        <v>11</v>
      </c>
      <c r="K957" t="str">
        <f>IF(logistics_classification_dataset__1[[#This Row],[Customer_Segment]]="Bireysel","Individual",IF(logistics_classification_dataset__1[[#This Row],[Customer_Segment]]="Kurumsal","Corporate"))</f>
        <v>Individual</v>
      </c>
      <c r="L957">
        <v>1</v>
      </c>
    </row>
    <row r="958" spans="1:12" x14ac:dyDescent="0.35">
      <c r="A958">
        <v>957</v>
      </c>
      <c r="B958" t="s">
        <v>12</v>
      </c>
      <c r="C958" t="s">
        <v>20</v>
      </c>
      <c r="D958" t="s">
        <v>10</v>
      </c>
      <c r="E958" t="str">
        <f>IF(logistics_classification_dataset__1[[#This Row],[Shipment_Type]]="Kara","Road",IF(logistics_classification_dataset__1[[#This Row],[Shipment_Type]]="Hava","Air",IF(logistics_classification_dataset__1[[#This Row],[Shipment_Type]]="Deniz","Sea")))</f>
        <v>Road</v>
      </c>
      <c r="F958">
        <v>157.58000000000001</v>
      </c>
      <c r="G958" t="str">
        <f t="shared" si="28"/>
        <v>0–500</v>
      </c>
      <c r="H958" s="1">
        <v>78.5</v>
      </c>
      <c r="I958" t="str">
        <f t="shared" si="29"/>
        <v>0–500</v>
      </c>
      <c r="J958" t="s">
        <v>14</v>
      </c>
      <c r="K958" t="str">
        <f>IF(logistics_classification_dataset__1[[#This Row],[Customer_Segment]]="Bireysel","Individual",IF(logistics_classification_dataset__1[[#This Row],[Customer_Segment]]="Kurumsal","Corporate"))</f>
        <v>Corporate</v>
      </c>
      <c r="L958">
        <v>1</v>
      </c>
    </row>
    <row r="959" spans="1:12" x14ac:dyDescent="0.35">
      <c r="A959">
        <v>958</v>
      </c>
      <c r="B959" t="s">
        <v>8</v>
      </c>
      <c r="C959" t="s">
        <v>17</v>
      </c>
      <c r="D959" t="s">
        <v>10</v>
      </c>
      <c r="E959" t="str">
        <f>IF(logistics_classification_dataset__1[[#This Row],[Shipment_Type]]="Kara","Road",IF(logistics_classification_dataset__1[[#This Row],[Shipment_Type]]="Hava","Air",IF(logistics_classification_dataset__1[[#This Row],[Shipment_Type]]="Deniz","Sea")))</f>
        <v>Road</v>
      </c>
      <c r="F959">
        <v>1973.52</v>
      </c>
      <c r="G959" t="str">
        <f t="shared" si="28"/>
        <v>1501–2000</v>
      </c>
      <c r="H959" s="1">
        <v>752.7</v>
      </c>
      <c r="I959" t="str">
        <f t="shared" si="29"/>
        <v>501–1000</v>
      </c>
      <c r="J959" t="s">
        <v>11</v>
      </c>
      <c r="K959" t="str">
        <f>IF(logistics_classification_dataset__1[[#This Row],[Customer_Segment]]="Bireysel","Individual",IF(logistics_classification_dataset__1[[#This Row],[Customer_Segment]]="Kurumsal","Corporate"))</f>
        <v>Individual</v>
      </c>
      <c r="L959">
        <v>0</v>
      </c>
    </row>
    <row r="960" spans="1:12" x14ac:dyDescent="0.35">
      <c r="A960">
        <v>959</v>
      </c>
      <c r="B960" t="s">
        <v>12</v>
      </c>
      <c r="C960" t="s">
        <v>13</v>
      </c>
      <c r="D960" t="s">
        <v>15</v>
      </c>
      <c r="E960" t="str">
        <f>IF(logistics_classification_dataset__1[[#This Row],[Shipment_Type]]="Kara","Road",IF(logistics_classification_dataset__1[[#This Row],[Shipment_Type]]="Hava","Air",IF(logistics_classification_dataset__1[[#This Row],[Shipment_Type]]="Deniz","Sea")))</f>
        <v>Air</v>
      </c>
      <c r="F960">
        <v>546.38</v>
      </c>
      <c r="G960" t="str">
        <f t="shared" si="28"/>
        <v>501–1000</v>
      </c>
      <c r="H960" s="1">
        <v>1229.4000000000001</v>
      </c>
      <c r="I960" t="str">
        <f t="shared" si="29"/>
        <v>1001–1500</v>
      </c>
      <c r="J960" t="s">
        <v>11</v>
      </c>
      <c r="K960" t="str">
        <f>IF(logistics_classification_dataset__1[[#This Row],[Customer_Segment]]="Bireysel","Individual",IF(logistics_classification_dataset__1[[#This Row],[Customer_Segment]]="Kurumsal","Corporate"))</f>
        <v>Individual</v>
      </c>
      <c r="L960">
        <v>1</v>
      </c>
    </row>
    <row r="961" spans="1:12" x14ac:dyDescent="0.35">
      <c r="A961">
        <v>960</v>
      </c>
      <c r="B961" t="s">
        <v>21</v>
      </c>
      <c r="C961" t="s">
        <v>13</v>
      </c>
      <c r="D961" t="s">
        <v>10</v>
      </c>
      <c r="E961" t="str">
        <f>IF(logistics_classification_dataset__1[[#This Row],[Shipment_Type]]="Kara","Road",IF(logistics_classification_dataset__1[[#This Row],[Shipment_Type]]="Hava","Air",IF(logistics_classification_dataset__1[[#This Row],[Shipment_Type]]="Deniz","Sea")))</f>
        <v>Road</v>
      </c>
      <c r="F961">
        <v>201.67</v>
      </c>
      <c r="G961" t="str">
        <f t="shared" si="28"/>
        <v>0–500</v>
      </c>
      <c r="H961" s="1">
        <v>805.5</v>
      </c>
      <c r="I961" t="str">
        <f t="shared" si="29"/>
        <v>501–1000</v>
      </c>
      <c r="J961" t="s">
        <v>11</v>
      </c>
      <c r="K961" t="str">
        <f>IF(logistics_classification_dataset__1[[#This Row],[Customer_Segment]]="Bireysel","Individual",IF(logistics_classification_dataset__1[[#This Row],[Customer_Segment]]="Kurumsal","Corporate"))</f>
        <v>Individual</v>
      </c>
      <c r="L961">
        <v>1</v>
      </c>
    </row>
    <row r="962" spans="1:12" x14ac:dyDescent="0.35">
      <c r="A962">
        <v>961</v>
      </c>
      <c r="B962" t="s">
        <v>20</v>
      </c>
      <c r="C962" t="s">
        <v>9</v>
      </c>
      <c r="D962" t="s">
        <v>15</v>
      </c>
      <c r="E962" t="str">
        <f>IF(logistics_classification_dataset__1[[#This Row],[Shipment_Type]]="Kara","Road",IF(logistics_classification_dataset__1[[#This Row],[Shipment_Type]]="Hava","Air",IF(logistics_classification_dataset__1[[#This Row],[Shipment_Type]]="Deniz","Sea")))</f>
        <v>Air</v>
      </c>
      <c r="F962">
        <v>1659.48</v>
      </c>
      <c r="G962" t="str">
        <f t="shared" ref="G962:G1001" si="30">IF(F962&lt;=500,"0–500",IF(F962&lt;=1000,"501–1000",IF(F962&lt;=1500,"1001–1500","1501–2000")))</f>
        <v>1501–2000</v>
      </c>
      <c r="H962" s="1">
        <v>1733.8</v>
      </c>
      <c r="I962" t="str">
        <f t="shared" ref="I962:I1001" si="31">IF(H962&lt;=500,"0–500",IF(H962&lt;=1000,"501–1000",IF(H962&lt;=1500,"1001–1500",IF(H962&lt;=2000,"1501–2000","&gt;2000"))))</f>
        <v>1501–2000</v>
      </c>
      <c r="J962" t="s">
        <v>11</v>
      </c>
      <c r="K962" t="str">
        <f>IF(logistics_classification_dataset__1[[#This Row],[Customer_Segment]]="Bireysel","Individual",IF(logistics_classification_dataset__1[[#This Row],[Customer_Segment]]="Kurumsal","Corporate"))</f>
        <v>Individual</v>
      </c>
      <c r="L962">
        <v>1</v>
      </c>
    </row>
    <row r="963" spans="1:12" x14ac:dyDescent="0.35">
      <c r="A963">
        <v>962</v>
      </c>
      <c r="B963" t="s">
        <v>9</v>
      </c>
      <c r="C963" t="s">
        <v>17</v>
      </c>
      <c r="D963" t="s">
        <v>10</v>
      </c>
      <c r="E963" t="str">
        <f>IF(logistics_classification_dataset__1[[#This Row],[Shipment_Type]]="Kara","Road",IF(logistics_classification_dataset__1[[#This Row],[Shipment_Type]]="Hava","Air",IF(logistics_classification_dataset__1[[#This Row],[Shipment_Type]]="Deniz","Sea")))</f>
        <v>Road</v>
      </c>
      <c r="F963">
        <v>1414.82</v>
      </c>
      <c r="G963" t="str">
        <f t="shared" si="30"/>
        <v>1001–1500</v>
      </c>
      <c r="H963" s="1">
        <v>652.20000000000005</v>
      </c>
      <c r="I963" t="str">
        <f t="shared" si="31"/>
        <v>501–1000</v>
      </c>
      <c r="J963" t="s">
        <v>11</v>
      </c>
      <c r="K963" t="str">
        <f>IF(logistics_classification_dataset__1[[#This Row],[Customer_Segment]]="Bireysel","Individual",IF(logistics_classification_dataset__1[[#This Row],[Customer_Segment]]="Kurumsal","Corporate"))</f>
        <v>Individual</v>
      </c>
      <c r="L963">
        <v>1</v>
      </c>
    </row>
    <row r="964" spans="1:12" x14ac:dyDescent="0.35">
      <c r="A964">
        <v>963</v>
      </c>
      <c r="B964" t="s">
        <v>16</v>
      </c>
      <c r="C964" t="s">
        <v>8</v>
      </c>
      <c r="D964" t="s">
        <v>10</v>
      </c>
      <c r="E964" t="str">
        <f>IF(logistics_classification_dataset__1[[#This Row],[Shipment_Type]]="Kara","Road",IF(logistics_classification_dataset__1[[#This Row],[Shipment_Type]]="Hava","Air",IF(logistics_classification_dataset__1[[#This Row],[Shipment_Type]]="Deniz","Sea")))</f>
        <v>Road</v>
      </c>
      <c r="F964">
        <v>1236.3499999999999</v>
      </c>
      <c r="G964" t="str">
        <f t="shared" si="30"/>
        <v>1001–1500</v>
      </c>
      <c r="H964" s="1">
        <v>622.4</v>
      </c>
      <c r="I964" t="str">
        <f t="shared" si="31"/>
        <v>501–1000</v>
      </c>
      <c r="J964" t="s">
        <v>14</v>
      </c>
      <c r="K964" t="str">
        <f>IF(logistics_classification_dataset__1[[#This Row],[Customer_Segment]]="Bireysel","Individual",IF(logistics_classification_dataset__1[[#This Row],[Customer_Segment]]="Kurumsal","Corporate"))</f>
        <v>Corporate</v>
      </c>
      <c r="L964">
        <v>1</v>
      </c>
    </row>
    <row r="965" spans="1:12" x14ac:dyDescent="0.35">
      <c r="A965">
        <v>964</v>
      </c>
      <c r="B965" t="s">
        <v>8</v>
      </c>
      <c r="C965" t="s">
        <v>12</v>
      </c>
      <c r="D965" t="s">
        <v>10</v>
      </c>
      <c r="E965" t="str">
        <f>IF(logistics_classification_dataset__1[[#This Row],[Shipment_Type]]="Kara","Road",IF(logistics_classification_dataset__1[[#This Row],[Shipment_Type]]="Hava","Air",IF(logistics_classification_dataset__1[[#This Row],[Shipment_Type]]="Deniz","Sea")))</f>
        <v>Road</v>
      </c>
      <c r="F965">
        <v>316.18</v>
      </c>
      <c r="G965" t="str">
        <f t="shared" si="30"/>
        <v>0–500</v>
      </c>
      <c r="H965" s="1">
        <v>568.70000000000005</v>
      </c>
      <c r="I965" t="str">
        <f t="shared" si="31"/>
        <v>501–1000</v>
      </c>
      <c r="J965" t="s">
        <v>11</v>
      </c>
      <c r="K965" t="str">
        <f>IF(logistics_classification_dataset__1[[#This Row],[Customer_Segment]]="Bireysel","Individual",IF(logistics_classification_dataset__1[[#This Row],[Customer_Segment]]="Kurumsal","Corporate"))</f>
        <v>Individual</v>
      </c>
      <c r="L965">
        <v>1</v>
      </c>
    </row>
    <row r="966" spans="1:12" x14ac:dyDescent="0.35">
      <c r="A966">
        <v>965</v>
      </c>
      <c r="B966" t="s">
        <v>9</v>
      </c>
      <c r="C966" t="s">
        <v>22</v>
      </c>
      <c r="D966" t="s">
        <v>15</v>
      </c>
      <c r="E966" t="str">
        <f>IF(logistics_classification_dataset__1[[#This Row],[Shipment_Type]]="Kara","Road",IF(logistics_classification_dataset__1[[#This Row],[Shipment_Type]]="Hava","Air",IF(logistics_classification_dataset__1[[#This Row],[Shipment_Type]]="Deniz","Sea")))</f>
        <v>Air</v>
      </c>
      <c r="F966">
        <v>95.96</v>
      </c>
      <c r="G966" t="str">
        <f t="shared" si="30"/>
        <v>0–500</v>
      </c>
      <c r="H966" s="1">
        <v>698.9</v>
      </c>
      <c r="I966" t="str">
        <f t="shared" si="31"/>
        <v>501–1000</v>
      </c>
      <c r="J966" t="s">
        <v>11</v>
      </c>
      <c r="K966" t="str">
        <f>IF(logistics_classification_dataset__1[[#This Row],[Customer_Segment]]="Bireysel","Individual",IF(logistics_classification_dataset__1[[#This Row],[Customer_Segment]]="Kurumsal","Corporate"))</f>
        <v>Individual</v>
      </c>
      <c r="L966">
        <v>1</v>
      </c>
    </row>
    <row r="967" spans="1:12" x14ac:dyDescent="0.35">
      <c r="A967">
        <v>966</v>
      </c>
      <c r="B967" t="s">
        <v>12</v>
      </c>
      <c r="C967" t="s">
        <v>13</v>
      </c>
      <c r="D967" t="s">
        <v>10</v>
      </c>
      <c r="E967" t="str">
        <f>IF(logistics_classification_dataset__1[[#This Row],[Shipment_Type]]="Kara","Road",IF(logistics_classification_dataset__1[[#This Row],[Shipment_Type]]="Hava","Air",IF(logistics_classification_dataset__1[[#This Row],[Shipment_Type]]="Deniz","Sea")))</f>
        <v>Road</v>
      </c>
      <c r="F967">
        <v>1562.21</v>
      </c>
      <c r="G967" t="str">
        <f t="shared" si="30"/>
        <v>1501–2000</v>
      </c>
      <c r="H967" s="1">
        <v>1136.9000000000001</v>
      </c>
      <c r="I967" t="str">
        <f t="shared" si="31"/>
        <v>1001–1500</v>
      </c>
      <c r="J967" t="s">
        <v>14</v>
      </c>
      <c r="K967" t="str">
        <f>IF(logistics_classification_dataset__1[[#This Row],[Customer_Segment]]="Bireysel","Individual",IF(logistics_classification_dataset__1[[#This Row],[Customer_Segment]]="Kurumsal","Corporate"))</f>
        <v>Corporate</v>
      </c>
      <c r="L967">
        <v>1</v>
      </c>
    </row>
    <row r="968" spans="1:12" x14ac:dyDescent="0.35">
      <c r="A968">
        <v>967</v>
      </c>
      <c r="B968" t="s">
        <v>21</v>
      </c>
      <c r="C968" t="s">
        <v>18</v>
      </c>
      <c r="D968" t="s">
        <v>15</v>
      </c>
      <c r="E968" t="str">
        <f>IF(logistics_classification_dataset__1[[#This Row],[Shipment_Type]]="Kara","Road",IF(logistics_classification_dataset__1[[#This Row],[Shipment_Type]]="Hava","Air",IF(logistics_classification_dataset__1[[#This Row],[Shipment_Type]]="Deniz","Sea")))</f>
        <v>Air</v>
      </c>
      <c r="F968">
        <v>610.73</v>
      </c>
      <c r="G968" t="str">
        <f t="shared" si="30"/>
        <v>501–1000</v>
      </c>
      <c r="H968" s="1">
        <v>1428.7</v>
      </c>
      <c r="I968" t="str">
        <f t="shared" si="31"/>
        <v>1001–1500</v>
      </c>
      <c r="J968" t="s">
        <v>14</v>
      </c>
      <c r="K968" t="str">
        <f>IF(logistics_classification_dataset__1[[#This Row],[Customer_Segment]]="Bireysel","Individual",IF(logistics_classification_dataset__1[[#This Row],[Customer_Segment]]="Kurumsal","Corporate"))</f>
        <v>Corporate</v>
      </c>
      <c r="L968">
        <v>1</v>
      </c>
    </row>
    <row r="969" spans="1:12" x14ac:dyDescent="0.35">
      <c r="A969">
        <v>968</v>
      </c>
      <c r="B969" t="s">
        <v>22</v>
      </c>
      <c r="C969" t="s">
        <v>12</v>
      </c>
      <c r="D969" t="s">
        <v>10</v>
      </c>
      <c r="E969" t="str">
        <f>IF(logistics_classification_dataset__1[[#This Row],[Shipment_Type]]="Kara","Road",IF(logistics_classification_dataset__1[[#This Row],[Shipment_Type]]="Hava","Air",IF(logistics_classification_dataset__1[[#This Row],[Shipment_Type]]="Deniz","Sea")))</f>
        <v>Road</v>
      </c>
      <c r="F969">
        <v>626.82000000000005</v>
      </c>
      <c r="G969" t="str">
        <f t="shared" si="30"/>
        <v>501–1000</v>
      </c>
      <c r="H969" s="1">
        <v>1342</v>
      </c>
      <c r="I969" t="str">
        <f t="shared" si="31"/>
        <v>1001–1500</v>
      </c>
      <c r="J969" t="s">
        <v>11</v>
      </c>
      <c r="K969" t="str">
        <f>IF(logistics_classification_dataset__1[[#This Row],[Customer_Segment]]="Bireysel","Individual",IF(logistics_classification_dataset__1[[#This Row],[Customer_Segment]]="Kurumsal","Corporate"))</f>
        <v>Individual</v>
      </c>
      <c r="L969">
        <v>1</v>
      </c>
    </row>
    <row r="970" spans="1:12" x14ac:dyDescent="0.35">
      <c r="A970">
        <v>969</v>
      </c>
      <c r="B970" t="s">
        <v>17</v>
      </c>
      <c r="C970" t="s">
        <v>8</v>
      </c>
      <c r="D970" t="s">
        <v>10</v>
      </c>
      <c r="E970" t="str">
        <f>IF(logistics_classification_dataset__1[[#This Row],[Shipment_Type]]="Kara","Road",IF(logistics_classification_dataset__1[[#This Row],[Shipment_Type]]="Hava","Air",IF(logistics_classification_dataset__1[[#This Row],[Shipment_Type]]="Deniz","Sea")))</f>
        <v>Road</v>
      </c>
      <c r="F970">
        <v>11.27</v>
      </c>
      <c r="G970" t="str">
        <f t="shared" si="30"/>
        <v>0–500</v>
      </c>
      <c r="H970" s="1">
        <v>1625</v>
      </c>
      <c r="I970" t="str">
        <f t="shared" si="31"/>
        <v>1501–2000</v>
      </c>
      <c r="J970" t="s">
        <v>11</v>
      </c>
      <c r="K970" t="str">
        <f>IF(logistics_classification_dataset__1[[#This Row],[Customer_Segment]]="Bireysel","Individual",IF(logistics_classification_dataset__1[[#This Row],[Customer_Segment]]="Kurumsal","Corporate"))</f>
        <v>Individual</v>
      </c>
      <c r="L970">
        <v>1</v>
      </c>
    </row>
    <row r="971" spans="1:12" x14ac:dyDescent="0.35">
      <c r="A971">
        <v>970</v>
      </c>
      <c r="B971" t="s">
        <v>16</v>
      </c>
      <c r="C971" t="s">
        <v>17</v>
      </c>
      <c r="D971" t="s">
        <v>15</v>
      </c>
      <c r="E971" t="str">
        <f>IF(logistics_classification_dataset__1[[#This Row],[Shipment_Type]]="Kara","Road",IF(logistics_classification_dataset__1[[#This Row],[Shipment_Type]]="Hava","Air",IF(logistics_classification_dataset__1[[#This Row],[Shipment_Type]]="Deniz","Sea")))</f>
        <v>Air</v>
      </c>
      <c r="F971">
        <v>352.62</v>
      </c>
      <c r="G971" t="str">
        <f t="shared" si="30"/>
        <v>0–500</v>
      </c>
      <c r="H971" s="1">
        <v>1777.5</v>
      </c>
      <c r="I971" t="str">
        <f t="shared" si="31"/>
        <v>1501–2000</v>
      </c>
      <c r="J971" t="s">
        <v>11</v>
      </c>
      <c r="K971" t="str">
        <f>IF(logistics_classification_dataset__1[[#This Row],[Customer_Segment]]="Bireysel","Individual",IF(logistics_classification_dataset__1[[#This Row],[Customer_Segment]]="Kurumsal","Corporate"))</f>
        <v>Individual</v>
      </c>
      <c r="L971">
        <v>1</v>
      </c>
    </row>
    <row r="972" spans="1:12" x14ac:dyDescent="0.35">
      <c r="A972">
        <v>971</v>
      </c>
      <c r="B972" t="s">
        <v>17</v>
      </c>
      <c r="C972" t="s">
        <v>20</v>
      </c>
      <c r="D972" t="s">
        <v>15</v>
      </c>
      <c r="E972" t="str">
        <f>IF(logistics_classification_dataset__1[[#This Row],[Shipment_Type]]="Kara","Road",IF(logistics_classification_dataset__1[[#This Row],[Shipment_Type]]="Hava","Air",IF(logistics_classification_dataset__1[[#This Row],[Shipment_Type]]="Deniz","Sea")))</f>
        <v>Air</v>
      </c>
      <c r="F972">
        <v>1751.43</v>
      </c>
      <c r="G972" t="str">
        <f t="shared" si="30"/>
        <v>1501–2000</v>
      </c>
      <c r="H972" s="1">
        <v>1641.4</v>
      </c>
      <c r="I972" t="str">
        <f t="shared" si="31"/>
        <v>1501–2000</v>
      </c>
      <c r="J972" t="s">
        <v>14</v>
      </c>
      <c r="K972" t="str">
        <f>IF(logistics_classification_dataset__1[[#This Row],[Customer_Segment]]="Bireysel","Individual",IF(logistics_classification_dataset__1[[#This Row],[Customer_Segment]]="Kurumsal","Corporate"))</f>
        <v>Corporate</v>
      </c>
      <c r="L972">
        <v>1</v>
      </c>
    </row>
    <row r="973" spans="1:12" x14ac:dyDescent="0.35">
      <c r="A973">
        <v>972</v>
      </c>
      <c r="B973" t="s">
        <v>9</v>
      </c>
      <c r="C973" t="s">
        <v>22</v>
      </c>
      <c r="D973" t="s">
        <v>10</v>
      </c>
      <c r="E973" t="str">
        <f>IF(logistics_classification_dataset__1[[#This Row],[Shipment_Type]]="Kara","Road",IF(logistics_classification_dataset__1[[#This Row],[Shipment_Type]]="Hava","Air",IF(logistics_classification_dataset__1[[#This Row],[Shipment_Type]]="Deniz","Sea")))</f>
        <v>Road</v>
      </c>
      <c r="F973">
        <v>886.28</v>
      </c>
      <c r="G973" t="str">
        <f t="shared" si="30"/>
        <v>501–1000</v>
      </c>
      <c r="H973" s="1">
        <v>86.9</v>
      </c>
      <c r="I973" t="str">
        <f t="shared" si="31"/>
        <v>0–500</v>
      </c>
      <c r="J973" t="s">
        <v>14</v>
      </c>
      <c r="K973" t="str">
        <f>IF(logistics_classification_dataset__1[[#This Row],[Customer_Segment]]="Bireysel","Individual",IF(logistics_classification_dataset__1[[#This Row],[Customer_Segment]]="Kurumsal","Corporate"))</f>
        <v>Corporate</v>
      </c>
      <c r="L973">
        <v>1</v>
      </c>
    </row>
    <row r="974" spans="1:12" x14ac:dyDescent="0.35">
      <c r="A974">
        <v>973</v>
      </c>
      <c r="B974" t="s">
        <v>21</v>
      </c>
      <c r="C974" t="s">
        <v>18</v>
      </c>
      <c r="D974" t="s">
        <v>15</v>
      </c>
      <c r="E974" t="str">
        <f>IF(logistics_classification_dataset__1[[#This Row],[Shipment_Type]]="Kara","Road",IF(logistics_classification_dataset__1[[#This Row],[Shipment_Type]]="Hava","Air",IF(logistics_classification_dataset__1[[#This Row],[Shipment_Type]]="Deniz","Sea")))</f>
        <v>Air</v>
      </c>
      <c r="F974">
        <v>1968.55</v>
      </c>
      <c r="G974" t="str">
        <f t="shared" si="30"/>
        <v>1501–2000</v>
      </c>
      <c r="H974" s="1">
        <v>1485</v>
      </c>
      <c r="I974" t="str">
        <f t="shared" si="31"/>
        <v>1001–1500</v>
      </c>
      <c r="J974" t="s">
        <v>11</v>
      </c>
      <c r="K974" t="str">
        <f>IF(logistics_classification_dataset__1[[#This Row],[Customer_Segment]]="Bireysel","Individual",IF(logistics_classification_dataset__1[[#This Row],[Customer_Segment]]="Kurumsal","Corporate"))</f>
        <v>Individual</v>
      </c>
      <c r="L974">
        <v>0</v>
      </c>
    </row>
    <row r="975" spans="1:12" x14ac:dyDescent="0.35">
      <c r="A975">
        <v>974</v>
      </c>
      <c r="B975" t="s">
        <v>21</v>
      </c>
      <c r="C975" t="s">
        <v>12</v>
      </c>
      <c r="D975" t="s">
        <v>10</v>
      </c>
      <c r="E975" t="str">
        <f>IF(logistics_classification_dataset__1[[#This Row],[Shipment_Type]]="Kara","Road",IF(logistics_classification_dataset__1[[#This Row],[Shipment_Type]]="Hava","Air",IF(logistics_classification_dataset__1[[#This Row],[Shipment_Type]]="Deniz","Sea")))</f>
        <v>Road</v>
      </c>
      <c r="F975">
        <v>794.44</v>
      </c>
      <c r="G975" t="str">
        <f t="shared" si="30"/>
        <v>501–1000</v>
      </c>
      <c r="H975" s="1">
        <v>456.4</v>
      </c>
      <c r="I975" t="str">
        <f t="shared" si="31"/>
        <v>0–500</v>
      </c>
      <c r="J975" t="s">
        <v>11</v>
      </c>
      <c r="K975" t="str">
        <f>IF(logistics_classification_dataset__1[[#This Row],[Customer_Segment]]="Bireysel","Individual",IF(logistics_classification_dataset__1[[#This Row],[Customer_Segment]]="Kurumsal","Corporate"))</f>
        <v>Individual</v>
      </c>
      <c r="L975">
        <v>1</v>
      </c>
    </row>
    <row r="976" spans="1:12" x14ac:dyDescent="0.35">
      <c r="A976">
        <v>975</v>
      </c>
      <c r="B976" t="s">
        <v>12</v>
      </c>
      <c r="C976" t="s">
        <v>17</v>
      </c>
      <c r="D976" t="s">
        <v>10</v>
      </c>
      <c r="E976" t="str">
        <f>IF(logistics_classification_dataset__1[[#This Row],[Shipment_Type]]="Kara","Road",IF(logistics_classification_dataset__1[[#This Row],[Shipment_Type]]="Hava","Air",IF(logistics_classification_dataset__1[[#This Row],[Shipment_Type]]="Deniz","Sea")))</f>
        <v>Road</v>
      </c>
      <c r="F976">
        <v>143.18</v>
      </c>
      <c r="G976" t="str">
        <f t="shared" si="30"/>
        <v>0–500</v>
      </c>
      <c r="H976" s="1">
        <v>309.2</v>
      </c>
      <c r="I976" t="str">
        <f t="shared" si="31"/>
        <v>0–500</v>
      </c>
      <c r="J976" t="s">
        <v>11</v>
      </c>
      <c r="K976" t="str">
        <f>IF(logistics_classification_dataset__1[[#This Row],[Customer_Segment]]="Bireysel","Individual",IF(logistics_classification_dataset__1[[#This Row],[Customer_Segment]]="Kurumsal","Corporate"))</f>
        <v>Individual</v>
      </c>
      <c r="L976">
        <v>1</v>
      </c>
    </row>
    <row r="977" spans="1:12" x14ac:dyDescent="0.35">
      <c r="A977">
        <v>976</v>
      </c>
      <c r="B977" t="s">
        <v>13</v>
      </c>
      <c r="C977" t="s">
        <v>9</v>
      </c>
      <c r="D977" t="s">
        <v>10</v>
      </c>
      <c r="E977" t="str">
        <f>IF(logistics_classification_dataset__1[[#This Row],[Shipment_Type]]="Kara","Road",IF(logistics_classification_dataset__1[[#This Row],[Shipment_Type]]="Hava","Air",IF(logistics_classification_dataset__1[[#This Row],[Shipment_Type]]="Deniz","Sea")))</f>
        <v>Road</v>
      </c>
      <c r="F977">
        <v>567.42999999999995</v>
      </c>
      <c r="G977" t="str">
        <f t="shared" si="30"/>
        <v>501–1000</v>
      </c>
      <c r="H977" s="1">
        <v>1295.0999999999999</v>
      </c>
      <c r="I977" t="str">
        <f t="shared" si="31"/>
        <v>1001–1500</v>
      </c>
      <c r="J977" t="s">
        <v>14</v>
      </c>
      <c r="K977" t="str">
        <f>IF(logistics_classification_dataset__1[[#This Row],[Customer_Segment]]="Bireysel","Individual",IF(logistics_classification_dataset__1[[#This Row],[Customer_Segment]]="Kurumsal","Corporate"))</f>
        <v>Corporate</v>
      </c>
      <c r="L977">
        <v>1</v>
      </c>
    </row>
    <row r="978" spans="1:12" x14ac:dyDescent="0.35">
      <c r="A978">
        <v>977</v>
      </c>
      <c r="B978" t="s">
        <v>12</v>
      </c>
      <c r="C978" t="s">
        <v>8</v>
      </c>
      <c r="D978" t="s">
        <v>15</v>
      </c>
      <c r="E978" t="str">
        <f>IF(logistics_classification_dataset__1[[#This Row],[Shipment_Type]]="Kara","Road",IF(logistics_classification_dataset__1[[#This Row],[Shipment_Type]]="Hava","Air",IF(logistics_classification_dataset__1[[#This Row],[Shipment_Type]]="Deniz","Sea")))</f>
        <v>Air</v>
      </c>
      <c r="F978">
        <v>73.08</v>
      </c>
      <c r="G978" t="str">
        <f t="shared" si="30"/>
        <v>0–500</v>
      </c>
      <c r="H978" s="1">
        <v>673.5</v>
      </c>
      <c r="I978" t="str">
        <f t="shared" si="31"/>
        <v>501–1000</v>
      </c>
      <c r="J978" t="s">
        <v>11</v>
      </c>
      <c r="K978" t="str">
        <f>IF(logistics_classification_dataset__1[[#This Row],[Customer_Segment]]="Bireysel","Individual",IF(logistics_classification_dataset__1[[#This Row],[Customer_Segment]]="Kurumsal","Corporate"))</f>
        <v>Individual</v>
      </c>
      <c r="L978">
        <v>1</v>
      </c>
    </row>
    <row r="979" spans="1:12" x14ac:dyDescent="0.35">
      <c r="A979">
        <v>978</v>
      </c>
      <c r="B979" t="s">
        <v>13</v>
      </c>
      <c r="C979" t="s">
        <v>22</v>
      </c>
      <c r="D979" t="s">
        <v>15</v>
      </c>
      <c r="E979" t="str">
        <f>IF(logistics_classification_dataset__1[[#This Row],[Shipment_Type]]="Kara","Road",IF(logistics_classification_dataset__1[[#This Row],[Shipment_Type]]="Hava","Air",IF(logistics_classification_dataset__1[[#This Row],[Shipment_Type]]="Deniz","Sea")))</f>
        <v>Air</v>
      </c>
      <c r="F979">
        <v>38.549999999999997</v>
      </c>
      <c r="G979" t="str">
        <f t="shared" si="30"/>
        <v>0–500</v>
      </c>
      <c r="H979" s="1">
        <v>161.4</v>
      </c>
      <c r="I979" t="str">
        <f t="shared" si="31"/>
        <v>0–500</v>
      </c>
      <c r="J979" t="s">
        <v>11</v>
      </c>
      <c r="K979" t="str">
        <f>IF(logistics_classification_dataset__1[[#This Row],[Customer_Segment]]="Bireysel","Individual",IF(logistics_classification_dataset__1[[#This Row],[Customer_Segment]]="Kurumsal","Corporate"))</f>
        <v>Individual</v>
      </c>
      <c r="L979">
        <v>1</v>
      </c>
    </row>
    <row r="980" spans="1:12" x14ac:dyDescent="0.35">
      <c r="A980">
        <v>979</v>
      </c>
      <c r="B980" t="s">
        <v>13</v>
      </c>
      <c r="C980" t="s">
        <v>16</v>
      </c>
      <c r="D980" t="s">
        <v>10</v>
      </c>
      <c r="E980" t="str">
        <f>IF(logistics_classification_dataset__1[[#This Row],[Shipment_Type]]="Kara","Road",IF(logistics_classification_dataset__1[[#This Row],[Shipment_Type]]="Hava","Air",IF(logistics_classification_dataset__1[[#This Row],[Shipment_Type]]="Deniz","Sea")))</f>
        <v>Road</v>
      </c>
      <c r="F980">
        <v>697.39</v>
      </c>
      <c r="G980" t="str">
        <f t="shared" si="30"/>
        <v>501–1000</v>
      </c>
      <c r="H980" s="1">
        <v>318.39999999999998</v>
      </c>
      <c r="I980" t="str">
        <f t="shared" si="31"/>
        <v>0–500</v>
      </c>
      <c r="J980" t="s">
        <v>14</v>
      </c>
      <c r="K980" t="str">
        <f>IF(logistics_classification_dataset__1[[#This Row],[Customer_Segment]]="Bireysel","Individual",IF(logistics_classification_dataset__1[[#This Row],[Customer_Segment]]="Kurumsal","Corporate"))</f>
        <v>Corporate</v>
      </c>
      <c r="L980">
        <v>1</v>
      </c>
    </row>
    <row r="981" spans="1:12" x14ac:dyDescent="0.35">
      <c r="A981">
        <v>980</v>
      </c>
      <c r="B981" t="s">
        <v>16</v>
      </c>
      <c r="C981" t="s">
        <v>9</v>
      </c>
      <c r="D981" t="s">
        <v>15</v>
      </c>
      <c r="E981" t="str">
        <f>IF(logistics_classification_dataset__1[[#This Row],[Shipment_Type]]="Kara","Road",IF(logistics_classification_dataset__1[[#This Row],[Shipment_Type]]="Hava","Air",IF(logistics_classification_dataset__1[[#This Row],[Shipment_Type]]="Deniz","Sea")))</f>
        <v>Air</v>
      </c>
      <c r="F981">
        <v>1096.74</v>
      </c>
      <c r="G981" t="str">
        <f t="shared" si="30"/>
        <v>1001–1500</v>
      </c>
      <c r="H981" s="1">
        <v>51.8</v>
      </c>
      <c r="I981" t="str">
        <f t="shared" si="31"/>
        <v>0–500</v>
      </c>
      <c r="J981" t="s">
        <v>11</v>
      </c>
      <c r="K981" t="str">
        <f>IF(logistics_classification_dataset__1[[#This Row],[Customer_Segment]]="Bireysel","Individual",IF(logistics_classification_dataset__1[[#This Row],[Customer_Segment]]="Kurumsal","Corporate"))</f>
        <v>Individual</v>
      </c>
      <c r="L981">
        <v>1</v>
      </c>
    </row>
    <row r="982" spans="1:12" x14ac:dyDescent="0.35">
      <c r="A982">
        <v>981</v>
      </c>
      <c r="B982" t="s">
        <v>12</v>
      </c>
      <c r="C982" t="s">
        <v>18</v>
      </c>
      <c r="D982" t="s">
        <v>10</v>
      </c>
      <c r="E982" t="str">
        <f>IF(logistics_classification_dataset__1[[#This Row],[Shipment_Type]]="Kara","Road",IF(logistics_classification_dataset__1[[#This Row],[Shipment_Type]]="Hava","Air",IF(logistics_classification_dataset__1[[#This Row],[Shipment_Type]]="Deniz","Sea")))</f>
        <v>Road</v>
      </c>
      <c r="F982">
        <v>1983.59</v>
      </c>
      <c r="G982" t="str">
        <f t="shared" si="30"/>
        <v>1501–2000</v>
      </c>
      <c r="H982" s="1">
        <v>1811.3</v>
      </c>
      <c r="I982" t="str">
        <f t="shared" si="31"/>
        <v>1501–2000</v>
      </c>
      <c r="J982" t="s">
        <v>11</v>
      </c>
      <c r="K982" t="str">
        <f>IF(logistics_classification_dataset__1[[#This Row],[Customer_Segment]]="Bireysel","Individual",IF(logistics_classification_dataset__1[[#This Row],[Customer_Segment]]="Kurumsal","Corporate"))</f>
        <v>Individual</v>
      </c>
      <c r="L982">
        <v>1</v>
      </c>
    </row>
    <row r="983" spans="1:12" x14ac:dyDescent="0.35">
      <c r="A983">
        <v>982</v>
      </c>
      <c r="B983" t="s">
        <v>22</v>
      </c>
      <c r="C983" t="s">
        <v>12</v>
      </c>
      <c r="D983" t="s">
        <v>10</v>
      </c>
      <c r="E983" t="str">
        <f>IF(logistics_classification_dataset__1[[#This Row],[Shipment_Type]]="Kara","Road",IF(logistics_classification_dataset__1[[#This Row],[Shipment_Type]]="Hava","Air",IF(logistics_classification_dataset__1[[#This Row],[Shipment_Type]]="Deniz","Sea")))</f>
        <v>Road</v>
      </c>
      <c r="F983">
        <v>1330.08</v>
      </c>
      <c r="G983" t="str">
        <f t="shared" si="30"/>
        <v>1001–1500</v>
      </c>
      <c r="H983" s="1">
        <v>98</v>
      </c>
      <c r="I983" t="str">
        <f t="shared" si="31"/>
        <v>0–500</v>
      </c>
      <c r="J983" t="s">
        <v>11</v>
      </c>
      <c r="K983" t="str">
        <f>IF(logistics_classification_dataset__1[[#This Row],[Customer_Segment]]="Bireysel","Individual",IF(logistics_classification_dataset__1[[#This Row],[Customer_Segment]]="Kurumsal","Corporate"))</f>
        <v>Individual</v>
      </c>
      <c r="L983">
        <v>1</v>
      </c>
    </row>
    <row r="984" spans="1:12" x14ac:dyDescent="0.35">
      <c r="A984">
        <v>983</v>
      </c>
      <c r="B984" t="s">
        <v>18</v>
      </c>
      <c r="C984" t="s">
        <v>9</v>
      </c>
      <c r="D984" t="s">
        <v>10</v>
      </c>
      <c r="E984" t="str">
        <f>IF(logistics_classification_dataset__1[[#This Row],[Shipment_Type]]="Kara","Road",IF(logistics_classification_dataset__1[[#This Row],[Shipment_Type]]="Hava","Air",IF(logistics_classification_dataset__1[[#This Row],[Shipment_Type]]="Deniz","Sea")))</f>
        <v>Road</v>
      </c>
      <c r="F984">
        <v>40.25</v>
      </c>
      <c r="G984" t="str">
        <f t="shared" si="30"/>
        <v>0–500</v>
      </c>
      <c r="H984" s="1">
        <v>458.4</v>
      </c>
      <c r="I984" t="str">
        <f t="shared" si="31"/>
        <v>0–500</v>
      </c>
      <c r="J984" t="s">
        <v>11</v>
      </c>
      <c r="K984" t="str">
        <f>IF(logistics_classification_dataset__1[[#This Row],[Customer_Segment]]="Bireysel","Individual",IF(logistics_classification_dataset__1[[#This Row],[Customer_Segment]]="Kurumsal","Corporate"))</f>
        <v>Individual</v>
      </c>
      <c r="L984">
        <v>1</v>
      </c>
    </row>
    <row r="985" spans="1:12" x14ac:dyDescent="0.35">
      <c r="A985">
        <v>984</v>
      </c>
      <c r="B985" t="s">
        <v>18</v>
      </c>
      <c r="C985" t="s">
        <v>8</v>
      </c>
      <c r="D985" t="s">
        <v>10</v>
      </c>
      <c r="E985" t="str">
        <f>IF(logistics_classification_dataset__1[[#This Row],[Shipment_Type]]="Kara","Road",IF(logistics_classification_dataset__1[[#This Row],[Shipment_Type]]="Hava","Air",IF(logistics_classification_dataset__1[[#This Row],[Shipment_Type]]="Deniz","Sea")))</f>
        <v>Road</v>
      </c>
      <c r="F985">
        <v>9.4700000000000006</v>
      </c>
      <c r="G985" t="str">
        <f t="shared" si="30"/>
        <v>0–500</v>
      </c>
      <c r="H985" s="1">
        <v>861.7</v>
      </c>
      <c r="I985" t="str">
        <f t="shared" si="31"/>
        <v>501–1000</v>
      </c>
      <c r="J985" t="s">
        <v>11</v>
      </c>
      <c r="K985" t="str">
        <f>IF(logistics_classification_dataset__1[[#This Row],[Customer_Segment]]="Bireysel","Individual",IF(logistics_classification_dataset__1[[#This Row],[Customer_Segment]]="Kurumsal","Corporate"))</f>
        <v>Individual</v>
      </c>
      <c r="L985">
        <v>1</v>
      </c>
    </row>
    <row r="986" spans="1:12" x14ac:dyDescent="0.35">
      <c r="A986">
        <v>985</v>
      </c>
      <c r="B986" t="s">
        <v>12</v>
      </c>
      <c r="C986" t="s">
        <v>16</v>
      </c>
      <c r="D986" t="s">
        <v>10</v>
      </c>
      <c r="E986" t="str">
        <f>IF(logistics_classification_dataset__1[[#This Row],[Shipment_Type]]="Kara","Road",IF(logistics_classification_dataset__1[[#This Row],[Shipment_Type]]="Hava","Air",IF(logistics_classification_dataset__1[[#This Row],[Shipment_Type]]="Deniz","Sea")))</f>
        <v>Road</v>
      </c>
      <c r="F986">
        <v>257.08</v>
      </c>
      <c r="G986" t="str">
        <f t="shared" si="30"/>
        <v>0–500</v>
      </c>
      <c r="H986" s="1">
        <v>745.3</v>
      </c>
      <c r="I986" t="str">
        <f t="shared" si="31"/>
        <v>501–1000</v>
      </c>
      <c r="J986" t="s">
        <v>11</v>
      </c>
      <c r="K986" t="str">
        <f>IF(logistics_classification_dataset__1[[#This Row],[Customer_Segment]]="Bireysel","Individual",IF(logistics_classification_dataset__1[[#This Row],[Customer_Segment]]="Kurumsal","Corporate"))</f>
        <v>Individual</v>
      </c>
      <c r="L986">
        <v>1</v>
      </c>
    </row>
    <row r="987" spans="1:12" x14ac:dyDescent="0.35">
      <c r="A987">
        <v>986</v>
      </c>
      <c r="B987" t="s">
        <v>12</v>
      </c>
      <c r="C987" t="s">
        <v>9</v>
      </c>
      <c r="D987" t="s">
        <v>10</v>
      </c>
      <c r="E987" t="str">
        <f>IF(logistics_classification_dataset__1[[#This Row],[Shipment_Type]]="Kara","Road",IF(logistics_classification_dataset__1[[#This Row],[Shipment_Type]]="Hava","Air",IF(logistics_classification_dataset__1[[#This Row],[Shipment_Type]]="Deniz","Sea")))</f>
        <v>Road</v>
      </c>
      <c r="F987">
        <v>112.73</v>
      </c>
      <c r="G987" t="str">
        <f t="shared" si="30"/>
        <v>0–500</v>
      </c>
      <c r="H987" s="1">
        <v>1827.9</v>
      </c>
      <c r="I987" t="str">
        <f t="shared" si="31"/>
        <v>1501–2000</v>
      </c>
      <c r="J987" t="s">
        <v>11</v>
      </c>
      <c r="K987" t="str">
        <f>IF(logistics_classification_dataset__1[[#This Row],[Customer_Segment]]="Bireysel","Individual",IF(logistics_classification_dataset__1[[#This Row],[Customer_Segment]]="Kurumsal","Corporate"))</f>
        <v>Individual</v>
      </c>
      <c r="L987">
        <v>1</v>
      </c>
    </row>
    <row r="988" spans="1:12" x14ac:dyDescent="0.35">
      <c r="A988">
        <v>987</v>
      </c>
      <c r="B988" t="s">
        <v>17</v>
      </c>
      <c r="C988" t="s">
        <v>21</v>
      </c>
      <c r="D988" t="s">
        <v>15</v>
      </c>
      <c r="E988" t="str">
        <f>IF(logistics_classification_dataset__1[[#This Row],[Shipment_Type]]="Kara","Road",IF(logistics_classification_dataset__1[[#This Row],[Shipment_Type]]="Hava","Air",IF(logistics_classification_dataset__1[[#This Row],[Shipment_Type]]="Deniz","Sea")))</f>
        <v>Air</v>
      </c>
      <c r="F988">
        <v>1531.49</v>
      </c>
      <c r="G988" t="str">
        <f t="shared" si="30"/>
        <v>1501–2000</v>
      </c>
      <c r="H988" s="1">
        <v>128.6</v>
      </c>
      <c r="I988" t="str">
        <f t="shared" si="31"/>
        <v>0–500</v>
      </c>
      <c r="J988" t="s">
        <v>14</v>
      </c>
      <c r="K988" t="str">
        <f>IF(logistics_classification_dataset__1[[#This Row],[Customer_Segment]]="Bireysel","Individual",IF(logistics_classification_dataset__1[[#This Row],[Customer_Segment]]="Kurumsal","Corporate"))</f>
        <v>Corporate</v>
      </c>
      <c r="L988">
        <v>1</v>
      </c>
    </row>
    <row r="989" spans="1:12" x14ac:dyDescent="0.35">
      <c r="A989">
        <v>988</v>
      </c>
      <c r="B989" t="s">
        <v>16</v>
      </c>
      <c r="C989" t="s">
        <v>8</v>
      </c>
      <c r="D989" t="s">
        <v>10</v>
      </c>
      <c r="E989" t="str">
        <f>IF(logistics_classification_dataset__1[[#This Row],[Shipment_Type]]="Kara","Road",IF(logistics_classification_dataset__1[[#This Row],[Shipment_Type]]="Hava","Air",IF(logistics_classification_dataset__1[[#This Row],[Shipment_Type]]="Deniz","Sea")))</f>
        <v>Road</v>
      </c>
      <c r="F989">
        <v>1881.14</v>
      </c>
      <c r="G989" t="str">
        <f t="shared" si="30"/>
        <v>1501–2000</v>
      </c>
      <c r="H989" s="1">
        <v>1048.8</v>
      </c>
      <c r="I989" t="str">
        <f t="shared" si="31"/>
        <v>1001–1500</v>
      </c>
      <c r="J989" t="s">
        <v>11</v>
      </c>
      <c r="K989" t="str">
        <f>IF(logistics_classification_dataset__1[[#This Row],[Customer_Segment]]="Bireysel","Individual",IF(logistics_classification_dataset__1[[#This Row],[Customer_Segment]]="Kurumsal","Corporate"))</f>
        <v>Individual</v>
      </c>
      <c r="L989">
        <v>0</v>
      </c>
    </row>
    <row r="990" spans="1:12" x14ac:dyDescent="0.35">
      <c r="A990">
        <v>989</v>
      </c>
      <c r="B990" t="s">
        <v>12</v>
      </c>
      <c r="C990" t="s">
        <v>18</v>
      </c>
      <c r="D990" t="s">
        <v>10</v>
      </c>
      <c r="E990" t="str">
        <f>IF(logistics_classification_dataset__1[[#This Row],[Shipment_Type]]="Kara","Road",IF(logistics_classification_dataset__1[[#This Row],[Shipment_Type]]="Hava","Air",IF(logistics_classification_dataset__1[[#This Row],[Shipment_Type]]="Deniz","Sea")))</f>
        <v>Road</v>
      </c>
      <c r="F990">
        <v>36.57</v>
      </c>
      <c r="G990" t="str">
        <f t="shared" si="30"/>
        <v>0–500</v>
      </c>
      <c r="H990" s="1">
        <v>1376.9</v>
      </c>
      <c r="I990" t="str">
        <f t="shared" si="31"/>
        <v>1001–1500</v>
      </c>
      <c r="J990" t="s">
        <v>11</v>
      </c>
      <c r="K990" t="str">
        <f>IF(logistics_classification_dataset__1[[#This Row],[Customer_Segment]]="Bireysel","Individual",IF(logistics_classification_dataset__1[[#This Row],[Customer_Segment]]="Kurumsal","Corporate"))</f>
        <v>Individual</v>
      </c>
      <c r="L990">
        <v>1</v>
      </c>
    </row>
    <row r="991" spans="1:12" x14ac:dyDescent="0.35">
      <c r="A991">
        <v>990</v>
      </c>
      <c r="B991" t="s">
        <v>17</v>
      </c>
      <c r="C991" t="s">
        <v>8</v>
      </c>
      <c r="D991" t="s">
        <v>10</v>
      </c>
      <c r="E991" t="str">
        <f>IF(logistics_classification_dataset__1[[#This Row],[Shipment_Type]]="Kara","Road",IF(logistics_classification_dataset__1[[#This Row],[Shipment_Type]]="Hava","Air",IF(logistics_classification_dataset__1[[#This Row],[Shipment_Type]]="Deniz","Sea")))</f>
        <v>Road</v>
      </c>
      <c r="F991">
        <v>1047.9100000000001</v>
      </c>
      <c r="G991" t="str">
        <f t="shared" si="30"/>
        <v>1001–1500</v>
      </c>
      <c r="H991" s="1">
        <v>1866.8</v>
      </c>
      <c r="I991" t="str">
        <f t="shared" si="31"/>
        <v>1501–2000</v>
      </c>
      <c r="J991" t="s">
        <v>11</v>
      </c>
      <c r="K991" t="str">
        <f>IF(logistics_classification_dataset__1[[#This Row],[Customer_Segment]]="Bireysel","Individual",IF(logistics_classification_dataset__1[[#This Row],[Customer_Segment]]="Kurumsal","Corporate"))</f>
        <v>Individual</v>
      </c>
      <c r="L991">
        <v>1</v>
      </c>
    </row>
    <row r="992" spans="1:12" x14ac:dyDescent="0.35">
      <c r="A992">
        <v>991</v>
      </c>
      <c r="B992" t="s">
        <v>13</v>
      </c>
      <c r="C992" t="s">
        <v>17</v>
      </c>
      <c r="D992" t="s">
        <v>10</v>
      </c>
      <c r="E992" t="str">
        <f>IF(logistics_classification_dataset__1[[#This Row],[Shipment_Type]]="Kara","Road",IF(logistics_classification_dataset__1[[#This Row],[Shipment_Type]]="Hava","Air",IF(logistics_classification_dataset__1[[#This Row],[Shipment_Type]]="Deniz","Sea")))</f>
        <v>Road</v>
      </c>
      <c r="F992">
        <v>944.38</v>
      </c>
      <c r="G992" t="str">
        <f t="shared" si="30"/>
        <v>501–1000</v>
      </c>
      <c r="H992" s="1">
        <v>1259.7</v>
      </c>
      <c r="I992" t="str">
        <f t="shared" si="31"/>
        <v>1001–1500</v>
      </c>
      <c r="J992" t="s">
        <v>14</v>
      </c>
      <c r="K992" t="str">
        <f>IF(logistics_classification_dataset__1[[#This Row],[Customer_Segment]]="Bireysel","Individual",IF(logistics_classification_dataset__1[[#This Row],[Customer_Segment]]="Kurumsal","Corporate"))</f>
        <v>Corporate</v>
      </c>
      <c r="L992">
        <v>1</v>
      </c>
    </row>
    <row r="993" spans="1:12" x14ac:dyDescent="0.35">
      <c r="A993">
        <v>992</v>
      </c>
      <c r="B993" t="s">
        <v>21</v>
      </c>
      <c r="C993" t="s">
        <v>20</v>
      </c>
      <c r="D993" t="s">
        <v>10</v>
      </c>
      <c r="E993" t="str">
        <f>IF(logistics_classification_dataset__1[[#This Row],[Shipment_Type]]="Kara","Road",IF(logistics_classification_dataset__1[[#This Row],[Shipment_Type]]="Hava","Air",IF(logistics_classification_dataset__1[[#This Row],[Shipment_Type]]="Deniz","Sea")))</f>
        <v>Road</v>
      </c>
      <c r="F993">
        <v>1313.83</v>
      </c>
      <c r="G993" t="str">
        <f t="shared" si="30"/>
        <v>1001–1500</v>
      </c>
      <c r="H993" s="1">
        <v>1617.3</v>
      </c>
      <c r="I993" t="str">
        <f t="shared" si="31"/>
        <v>1501–2000</v>
      </c>
      <c r="J993" t="s">
        <v>14</v>
      </c>
      <c r="K993" t="str">
        <f>IF(logistics_classification_dataset__1[[#This Row],[Customer_Segment]]="Bireysel","Individual",IF(logistics_classification_dataset__1[[#This Row],[Customer_Segment]]="Kurumsal","Corporate"))</f>
        <v>Corporate</v>
      </c>
      <c r="L993">
        <v>0</v>
      </c>
    </row>
    <row r="994" spans="1:12" x14ac:dyDescent="0.35">
      <c r="A994">
        <v>993</v>
      </c>
      <c r="B994" t="s">
        <v>21</v>
      </c>
      <c r="C994" t="s">
        <v>20</v>
      </c>
      <c r="D994" t="s">
        <v>15</v>
      </c>
      <c r="E994" t="str">
        <f>IF(logistics_classification_dataset__1[[#This Row],[Shipment_Type]]="Kara","Road",IF(logistics_classification_dataset__1[[#This Row],[Shipment_Type]]="Hava","Air",IF(logistics_classification_dataset__1[[#This Row],[Shipment_Type]]="Deniz","Sea")))</f>
        <v>Air</v>
      </c>
      <c r="F994">
        <v>1121.3599999999999</v>
      </c>
      <c r="G994" t="str">
        <f t="shared" si="30"/>
        <v>1001–1500</v>
      </c>
      <c r="H994" s="1">
        <v>213.3</v>
      </c>
      <c r="I994" t="str">
        <f t="shared" si="31"/>
        <v>0–500</v>
      </c>
      <c r="J994" t="s">
        <v>11</v>
      </c>
      <c r="K994" t="str">
        <f>IF(logistics_classification_dataset__1[[#This Row],[Customer_Segment]]="Bireysel","Individual",IF(logistics_classification_dataset__1[[#This Row],[Customer_Segment]]="Kurumsal","Corporate"))</f>
        <v>Individual</v>
      </c>
      <c r="L994">
        <v>1</v>
      </c>
    </row>
    <row r="995" spans="1:12" x14ac:dyDescent="0.35">
      <c r="A995">
        <v>994</v>
      </c>
      <c r="B995" t="s">
        <v>13</v>
      </c>
      <c r="C995" t="s">
        <v>20</v>
      </c>
      <c r="D995" t="s">
        <v>10</v>
      </c>
      <c r="E995" t="str">
        <f>IF(logistics_classification_dataset__1[[#This Row],[Shipment_Type]]="Kara","Road",IF(logistics_classification_dataset__1[[#This Row],[Shipment_Type]]="Hava","Air",IF(logistics_classification_dataset__1[[#This Row],[Shipment_Type]]="Deniz","Sea")))</f>
        <v>Road</v>
      </c>
      <c r="F995">
        <v>1375.64</v>
      </c>
      <c r="G995" t="str">
        <f t="shared" si="30"/>
        <v>1001–1500</v>
      </c>
      <c r="H995" s="1">
        <v>802.6</v>
      </c>
      <c r="I995" t="str">
        <f t="shared" si="31"/>
        <v>501–1000</v>
      </c>
      <c r="J995" t="s">
        <v>11</v>
      </c>
      <c r="K995" t="str">
        <f>IF(logistics_classification_dataset__1[[#This Row],[Customer_Segment]]="Bireysel","Individual",IF(logistics_classification_dataset__1[[#This Row],[Customer_Segment]]="Kurumsal","Corporate"))</f>
        <v>Individual</v>
      </c>
      <c r="L995">
        <v>1</v>
      </c>
    </row>
    <row r="996" spans="1:12" x14ac:dyDescent="0.35">
      <c r="A996">
        <v>995</v>
      </c>
      <c r="B996" t="s">
        <v>8</v>
      </c>
      <c r="C996" t="s">
        <v>22</v>
      </c>
      <c r="D996" t="s">
        <v>15</v>
      </c>
      <c r="E996" t="str">
        <f>IF(logistics_classification_dataset__1[[#This Row],[Shipment_Type]]="Kara","Road",IF(logistics_classification_dataset__1[[#This Row],[Shipment_Type]]="Hava","Air",IF(logistics_classification_dataset__1[[#This Row],[Shipment_Type]]="Deniz","Sea")))</f>
        <v>Air</v>
      </c>
      <c r="F996">
        <v>1317.87</v>
      </c>
      <c r="G996" t="str">
        <f t="shared" si="30"/>
        <v>1001–1500</v>
      </c>
      <c r="H996" s="1">
        <v>779.2</v>
      </c>
      <c r="I996" t="str">
        <f t="shared" si="31"/>
        <v>501–1000</v>
      </c>
      <c r="J996" t="s">
        <v>11</v>
      </c>
      <c r="K996" t="str">
        <f>IF(logistics_classification_dataset__1[[#This Row],[Customer_Segment]]="Bireysel","Individual",IF(logistics_classification_dataset__1[[#This Row],[Customer_Segment]]="Kurumsal","Corporate"))</f>
        <v>Individual</v>
      </c>
      <c r="L996">
        <v>0</v>
      </c>
    </row>
    <row r="997" spans="1:12" x14ac:dyDescent="0.35">
      <c r="A997">
        <v>996</v>
      </c>
      <c r="B997" t="s">
        <v>17</v>
      </c>
      <c r="C997" t="s">
        <v>18</v>
      </c>
      <c r="D997" t="s">
        <v>15</v>
      </c>
      <c r="E997" t="str">
        <f>IF(logistics_classification_dataset__1[[#This Row],[Shipment_Type]]="Kara","Road",IF(logistics_classification_dataset__1[[#This Row],[Shipment_Type]]="Hava","Air",IF(logistics_classification_dataset__1[[#This Row],[Shipment_Type]]="Deniz","Sea")))</f>
        <v>Air</v>
      </c>
      <c r="F997">
        <v>238.44</v>
      </c>
      <c r="G997" t="str">
        <f t="shared" si="30"/>
        <v>0–500</v>
      </c>
      <c r="H997" s="1">
        <v>1778.3</v>
      </c>
      <c r="I997" t="str">
        <f t="shared" si="31"/>
        <v>1501–2000</v>
      </c>
      <c r="J997" t="s">
        <v>11</v>
      </c>
      <c r="K997" t="str">
        <f>IF(logistics_classification_dataset__1[[#This Row],[Customer_Segment]]="Bireysel","Individual",IF(logistics_classification_dataset__1[[#This Row],[Customer_Segment]]="Kurumsal","Corporate"))</f>
        <v>Individual</v>
      </c>
      <c r="L997">
        <v>0</v>
      </c>
    </row>
    <row r="998" spans="1:12" x14ac:dyDescent="0.35">
      <c r="A998">
        <v>997</v>
      </c>
      <c r="B998" t="s">
        <v>17</v>
      </c>
      <c r="C998" t="s">
        <v>8</v>
      </c>
      <c r="D998" t="s">
        <v>10</v>
      </c>
      <c r="E998" t="str">
        <f>IF(logistics_classification_dataset__1[[#This Row],[Shipment_Type]]="Kara","Road",IF(logistics_classification_dataset__1[[#This Row],[Shipment_Type]]="Hava","Air",IF(logistics_classification_dataset__1[[#This Row],[Shipment_Type]]="Deniz","Sea")))</f>
        <v>Road</v>
      </c>
      <c r="F998">
        <v>1600.44</v>
      </c>
      <c r="G998" t="str">
        <f t="shared" si="30"/>
        <v>1501–2000</v>
      </c>
      <c r="H998" s="1">
        <v>345.2</v>
      </c>
      <c r="I998" t="str">
        <f t="shared" si="31"/>
        <v>0–500</v>
      </c>
      <c r="J998" t="s">
        <v>11</v>
      </c>
      <c r="K998" t="str">
        <f>IF(logistics_classification_dataset__1[[#This Row],[Customer_Segment]]="Bireysel","Individual",IF(logistics_classification_dataset__1[[#This Row],[Customer_Segment]]="Kurumsal","Corporate"))</f>
        <v>Individual</v>
      </c>
      <c r="L998">
        <v>1</v>
      </c>
    </row>
    <row r="999" spans="1:12" x14ac:dyDescent="0.35">
      <c r="A999">
        <v>998</v>
      </c>
      <c r="B999" t="s">
        <v>13</v>
      </c>
      <c r="C999" t="s">
        <v>16</v>
      </c>
      <c r="D999" t="s">
        <v>15</v>
      </c>
      <c r="E999" t="str">
        <f>IF(logistics_classification_dataset__1[[#This Row],[Shipment_Type]]="Kara","Road",IF(logistics_classification_dataset__1[[#This Row],[Shipment_Type]]="Hava","Air",IF(logistics_classification_dataset__1[[#This Row],[Shipment_Type]]="Deniz","Sea")))</f>
        <v>Air</v>
      </c>
      <c r="F999">
        <v>250.85</v>
      </c>
      <c r="G999" t="str">
        <f t="shared" si="30"/>
        <v>0–500</v>
      </c>
      <c r="H999" s="1">
        <v>346.2</v>
      </c>
      <c r="I999" t="str">
        <f t="shared" si="31"/>
        <v>0–500</v>
      </c>
      <c r="J999" t="s">
        <v>14</v>
      </c>
      <c r="K999" t="str">
        <f>IF(logistics_classification_dataset__1[[#This Row],[Customer_Segment]]="Bireysel","Individual",IF(logistics_classification_dataset__1[[#This Row],[Customer_Segment]]="Kurumsal","Corporate"))</f>
        <v>Corporate</v>
      </c>
      <c r="L999">
        <v>1</v>
      </c>
    </row>
    <row r="1000" spans="1:12" x14ac:dyDescent="0.35">
      <c r="A1000">
        <v>999</v>
      </c>
      <c r="B1000" t="s">
        <v>22</v>
      </c>
      <c r="C1000" t="s">
        <v>16</v>
      </c>
      <c r="D1000" t="s">
        <v>10</v>
      </c>
      <c r="E1000" t="str">
        <f>IF(logistics_classification_dataset__1[[#This Row],[Shipment_Type]]="Kara","Road",IF(logistics_classification_dataset__1[[#This Row],[Shipment_Type]]="Hava","Air",IF(logistics_classification_dataset__1[[#This Row],[Shipment_Type]]="Deniz","Sea")))</f>
        <v>Road</v>
      </c>
      <c r="F1000">
        <v>1398.57</v>
      </c>
      <c r="G1000" t="str">
        <f t="shared" si="30"/>
        <v>1001–1500</v>
      </c>
      <c r="H1000" s="1">
        <v>690.7</v>
      </c>
      <c r="I1000" t="str">
        <f t="shared" si="31"/>
        <v>501–1000</v>
      </c>
      <c r="J1000" t="s">
        <v>14</v>
      </c>
      <c r="K1000" t="str">
        <f>IF(logistics_classification_dataset__1[[#This Row],[Customer_Segment]]="Bireysel","Individual",IF(logistics_classification_dataset__1[[#This Row],[Customer_Segment]]="Kurumsal","Corporate"))</f>
        <v>Corporate</v>
      </c>
      <c r="L1000">
        <v>1</v>
      </c>
    </row>
    <row r="1001" spans="1:12" x14ac:dyDescent="0.35">
      <c r="A1001">
        <v>1000</v>
      </c>
      <c r="B1001" t="s">
        <v>20</v>
      </c>
      <c r="C1001" t="s">
        <v>18</v>
      </c>
      <c r="D1001" t="s">
        <v>15</v>
      </c>
      <c r="E1001" t="str">
        <f>IF(logistics_classification_dataset__1[[#This Row],[Shipment_Type]]="Kara","Road",IF(logistics_classification_dataset__1[[#This Row],[Shipment_Type]]="Hava","Air",IF(logistics_classification_dataset__1[[#This Row],[Shipment_Type]]="Deniz","Sea")))</f>
        <v>Air</v>
      </c>
      <c r="F1001">
        <v>835.21</v>
      </c>
      <c r="G1001" t="str">
        <f t="shared" si="30"/>
        <v>501–1000</v>
      </c>
      <c r="H1001" s="1">
        <v>156.19999999999999</v>
      </c>
      <c r="I1001" t="str">
        <f t="shared" si="31"/>
        <v>0–500</v>
      </c>
      <c r="J1001" t="s">
        <v>11</v>
      </c>
      <c r="K1001" t="str">
        <f>IF(logistics_classification_dataset__1[[#This Row],[Customer_Segment]]="Bireysel","Individual",IF(logistics_classification_dataset__1[[#This Row],[Customer_Segment]]="Kurumsal","Corporate"))</f>
        <v>Individual</v>
      </c>
      <c r="L1001">
        <v>1</v>
      </c>
    </row>
  </sheetData>
  <phoneticPr fontId="18" type="noConversion"/>
  <conditionalFormatting sqref="B1">
    <cfRule type="duplicateValues" dxfId="9" priority="1"/>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C0718EC-5493-4E9C-B96B-55AEC57482F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2026-08-10T18:17:34Z</cp:lastPrinted>
  <dcterms:created xsi:type="dcterms:W3CDTF">2026-08-06T08:50:57Z</dcterms:created>
  <dcterms:modified xsi:type="dcterms:W3CDTF">2026-08-10T18:18:30Z</dcterms:modified>
</cp:coreProperties>
</file>